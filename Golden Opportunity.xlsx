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0448\Desktop\"/>
    </mc:Choice>
  </mc:AlternateContent>
  <xr:revisionPtr revIDLastSave="0" documentId="13_ncr:1_{CC8E37C5-2E57-4ABF-A7D0-07ACE422F9FF}" xr6:coauthVersionLast="45" xr6:coauthVersionMax="45" xr10:uidLastSave="{00000000-0000-0000-0000-000000000000}"/>
  <bookViews>
    <workbookView xWindow="-120" yWindow="-120" windowWidth="20730" windowHeight="11160" firstSheet="1" activeTab="3" xr2:uid="{AA2AABE3-3BD3-45DC-A255-3BC1FDA9DC74}"/>
  </bookViews>
  <sheets>
    <sheet name="Goldenhour Systems Pvt Ltd" sheetId="1" r:id="rId1"/>
    <sheet name="VIsion Mission Purpose" sheetId="2" r:id="rId2"/>
    <sheet name="Bussiness -Revenue Model" sheetId="3" r:id="rId3"/>
    <sheet name="Projections &amp; Estimations" sheetId="4" r:id="rId4"/>
    <sheet name="Calculations" sheetId="7" r:id="rId5"/>
    <sheet name="Tesla Comparisons for Range" sheetId="6" r:id="rId6"/>
    <sheet name="Space selling Rates 0910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7" i="4" l="1"/>
  <c r="F19" i="7"/>
  <c r="C15" i="7"/>
  <c r="F14" i="7"/>
  <c r="F13" i="7"/>
  <c r="F12" i="7"/>
  <c r="E16" i="7"/>
  <c r="D15" i="7"/>
  <c r="D16" i="7"/>
  <c r="C16" i="7"/>
  <c r="E17" i="7" s="1"/>
  <c r="E19" i="7" s="1"/>
  <c r="E15" i="7"/>
  <c r="E14" i="7"/>
  <c r="E13" i="7"/>
  <c r="E6" i="7"/>
  <c r="E12" i="7"/>
  <c r="E5" i="7"/>
  <c r="D14" i="7"/>
  <c r="D13" i="7"/>
  <c r="D12" i="7"/>
  <c r="N15" i="7"/>
  <c r="L15" i="7"/>
  <c r="J15" i="7"/>
  <c r="N11" i="7"/>
  <c r="L11" i="7"/>
  <c r="J11" i="7"/>
  <c r="C14" i="7"/>
  <c r="C13" i="7"/>
  <c r="C12" i="7"/>
  <c r="C6" i="7"/>
  <c r="C2" i="7"/>
  <c r="C7" i="7" s="1"/>
  <c r="N10" i="6"/>
  <c r="O10" i="6"/>
  <c r="O9" i="6"/>
  <c r="T6" i="6"/>
  <c r="S6" i="6"/>
  <c r="R6" i="6"/>
  <c r="Q6" i="6"/>
  <c r="P6" i="6"/>
  <c r="T4" i="6"/>
  <c r="S4" i="6"/>
  <c r="R4" i="6"/>
  <c r="Q4" i="6"/>
  <c r="P4" i="6"/>
  <c r="P5" i="6"/>
  <c r="O6" i="6"/>
  <c r="O4" i="6"/>
  <c r="O5" i="6"/>
  <c r="K450" i="5"/>
  <c r="K452" i="5"/>
  <c r="K448" i="5"/>
  <c r="D6" i="7" l="1"/>
  <c r="E7" i="7"/>
  <c r="D7" i="7"/>
  <c r="C5" i="7"/>
  <c r="C8" i="7" l="1"/>
  <c r="D5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Hemant Thackeray</author>
  </authors>
  <commentList>
    <comment ref="E5" authorId="0" shapeId="0" xr:uid="{A03FE5DE-18BB-4FCA-9D9B-DD49A6C40FCC}">
      <text>
        <r>
          <rPr>
            <b/>
            <sz val="9"/>
            <color indexed="81"/>
            <rFont val="Tahoma"/>
            <family val="2"/>
          </rPr>
          <t>Hemant Thackeray:</t>
        </r>
        <r>
          <rPr>
            <sz val="9"/>
            <color indexed="81"/>
            <rFont val="Tahoma"/>
            <family val="2"/>
          </rPr>
          <t xml:space="preserve">
25 kmph 2 hours</t>
        </r>
      </text>
    </comment>
    <comment ref="E6" authorId="0" shapeId="0" xr:uid="{C23ADF6A-68BA-4889-A77F-166F1EDD8230}">
      <text>
        <r>
          <rPr>
            <b/>
            <sz val="9"/>
            <color indexed="81"/>
            <rFont val="Tahoma"/>
            <family val="2"/>
          </rPr>
          <t>Hemant Thackeray:</t>
        </r>
        <r>
          <rPr>
            <sz val="9"/>
            <color indexed="81"/>
            <rFont val="Tahoma"/>
            <family val="2"/>
          </rPr>
          <t xml:space="preserve">
30 kmph 22 hours</t>
        </r>
      </text>
    </comment>
    <comment ref="E7" authorId="0" shapeId="0" xr:uid="{E2010CA8-4A64-4571-8010-B7E273E1ED17}">
      <text>
        <r>
          <rPr>
            <b/>
            <sz val="9"/>
            <color indexed="81"/>
            <rFont val="Tahoma"/>
            <family val="2"/>
          </rPr>
          <t>Hemant Thackeray:</t>
        </r>
        <r>
          <rPr>
            <sz val="9"/>
            <color indexed="81"/>
            <rFont val="Tahoma"/>
            <family val="2"/>
          </rPr>
          <t xml:space="preserve">
8 KMH in 22 hrs</t>
        </r>
      </text>
    </comment>
  </commentList>
</comments>
</file>

<file path=xl/sharedStrings.xml><?xml version="1.0" encoding="utf-8"?>
<sst xmlns="http://schemas.openxmlformats.org/spreadsheetml/2006/main" count="1101" uniqueCount="263">
  <si>
    <t>Founders</t>
  </si>
  <si>
    <t>Hemant Thackeray</t>
  </si>
  <si>
    <t>Jeetu Ramchandani</t>
  </si>
  <si>
    <t>Goldenhour sytems Pvt LTD (GSPL) is founded in Aug 2016. It’s a DIPP certified company under StartUp India Initiative by Govt. Of India</t>
  </si>
  <si>
    <t>GSPL will have a network of Ambulances proportionate to Population Density, Optimizing Healthcare Ecosytem</t>
  </si>
  <si>
    <t>Vision</t>
  </si>
  <si>
    <t>Mission</t>
  </si>
  <si>
    <t>Purpose</t>
  </si>
  <si>
    <t>GSPL's B2B spaceselling opportunities on the Assests</t>
  </si>
  <si>
    <t>Ready for Delivery &amp; planning for upgrade releases regularly</t>
  </si>
  <si>
    <t>Phase Roll Out from Year 1</t>
  </si>
  <si>
    <t>Streams</t>
  </si>
  <si>
    <t xml:space="preserve">End Game (2030) </t>
  </si>
  <si>
    <t>Specific Measurable Results</t>
  </si>
  <si>
    <t>Revenue Carrier</t>
  </si>
  <si>
    <t>GSPL's Data + Analytics+Behaviourial platforms for B2B (Healthcare Ecosystem + Governance)</t>
  </si>
  <si>
    <t>Ambulance.run to have 1 Electric Fully Loaded Ambulance with Trained &amp; Certified Paramedics, Doctors &amp; Drivers Per thousand population giving them free access to Hospitals, Clinics, Physio Sessions, Investigations &amp; Diagonostics &amp; After Hospitalization Care &amp; Pallitative care or any other Healthcare Avenues</t>
  </si>
  <si>
    <t>GSPL's (B2B) logistic Support Acccess to Healthcare Ecosystem Players. Having Junctional points points connecting the End customer through EV Bikes/Cycles by Trained Paramedic/Doctors/Physios/Diagonostics</t>
  </si>
  <si>
    <t>Ambulance.Run to provide Emergency Management System (EMS) for Ambulance  to Hospitals &amp; Healthcare Avenues on Freemium &amp; Premium Access at Subcription/Revenue sharing Model</t>
  </si>
  <si>
    <t>Sr.No</t>
  </si>
  <si>
    <t>Asset</t>
  </si>
  <si>
    <t>Service</t>
  </si>
  <si>
    <t>Manufacturing+Licensing</t>
  </si>
  <si>
    <t>Generation + Distribution + Franchise</t>
  </si>
  <si>
    <t>Sotware</t>
  </si>
  <si>
    <t>Ecosystem</t>
  </si>
  <si>
    <t>Software As a Service</t>
  </si>
  <si>
    <t>GSPL's Cloud for Healthcare Ecosystem</t>
  </si>
  <si>
    <t>Cloud</t>
  </si>
  <si>
    <t>Assets Space + Consumables (Medicinal + Non Medicinals) + Logistics</t>
  </si>
  <si>
    <t>Ad Revenue</t>
  </si>
  <si>
    <t>Subscription Model</t>
  </si>
  <si>
    <t>GSPL's Ecosystem Subscriptions to Government &amp; Defense</t>
  </si>
  <si>
    <t>Subscriptions</t>
  </si>
  <si>
    <t>Ecosystem =  Ambulance Services + SaaS + B2B + B2C + EV + Ancillary (Charging stations + Data Oil)</t>
  </si>
  <si>
    <t>S.No</t>
  </si>
  <si>
    <t>Channel</t>
  </si>
  <si>
    <t>Rate/10 sec(Rs.)</t>
  </si>
  <si>
    <t>Star Plus</t>
  </si>
  <si>
    <t>Sony Entertainment India</t>
  </si>
  <si>
    <t>7-9 am</t>
  </si>
  <si>
    <t>9-12 noon</t>
  </si>
  <si>
    <t>12-7 pm</t>
  </si>
  <si>
    <t>7-8 pm</t>
  </si>
  <si>
    <t>8-11 pm</t>
  </si>
  <si>
    <t>Sun TV</t>
  </si>
  <si>
    <t>Star Gold</t>
  </si>
  <si>
    <t>Zee TV</t>
  </si>
  <si>
    <t>Sahara One</t>
  </si>
  <si>
    <t>MAX</t>
  </si>
  <si>
    <t>Enadu TV</t>
  </si>
  <si>
    <t>Gemini TV</t>
  </si>
  <si>
    <t>Zee Marathi</t>
  </si>
  <si>
    <t>Zee Cinema</t>
  </si>
  <si>
    <t>ETV Bangla</t>
  </si>
  <si>
    <t>Colors</t>
  </si>
  <si>
    <t>Aaj Tak</t>
  </si>
  <si>
    <t>ETV Marathi</t>
  </si>
  <si>
    <t>Zee Bangla</t>
  </si>
  <si>
    <t>9 X</t>
  </si>
  <si>
    <t>Star One</t>
  </si>
  <si>
    <t>9 XM</t>
  </si>
  <si>
    <t>Teja TV</t>
  </si>
  <si>
    <t>Zee Cafe</t>
  </si>
  <si>
    <t>Cartoon Network</t>
  </si>
  <si>
    <t>Discovery</t>
  </si>
  <si>
    <t>Zee Telugu</t>
  </si>
  <si>
    <t>ETV Kannada</t>
  </si>
  <si>
    <t>KTV</t>
  </si>
  <si>
    <t>Filmy</t>
  </si>
  <si>
    <t>NDTV Imagine</t>
  </si>
  <si>
    <t>IBN 7</t>
  </si>
  <si>
    <t>TV 9 Telugu News</t>
  </si>
  <si>
    <t>India TV</t>
  </si>
  <si>
    <t>Star Vijay</t>
  </si>
  <si>
    <t>MTV</t>
  </si>
  <si>
    <t>UTV Movies</t>
  </si>
  <si>
    <t>Nickelodon</t>
  </si>
  <si>
    <t>Zoom</t>
  </si>
  <si>
    <t>Pogo</t>
  </si>
  <si>
    <t>Zee News</t>
  </si>
  <si>
    <t>Sab TV</t>
  </si>
  <si>
    <t>Zee Kananda</t>
  </si>
  <si>
    <t>World Movies</t>
  </si>
  <si>
    <t>24 Ghanta TV</t>
  </si>
  <si>
    <t>Star News</t>
  </si>
  <si>
    <t>AAkash Bangla</t>
  </si>
  <si>
    <t>Sun Music</t>
  </si>
  <si>
    <t>Aastha</t>
  </si>
  <si>
    <t>Zee Business</t>
  </si>
  <si>
    <t>Animal Planet</t>
  </si>
  <si>
    <t>Star Utsav</t>
  </si>
  <si>
    <t>Asianet News</t>
  </si>
  <si>
    <t>TV 9 Karnataka</t>
  </si>
  <si>
    <t>Asianet Plus</t>
  </si>
  <si>
    <t>AXN</t>
  </si>
  <si>
    <t>Makkal TV</t>
  </si>
  <si>
    <t>B4U Movies</t>
  </si>
  <si>
    <t>Manorama News</t>
  </si>
  <si>
    <t>B4U Music</t>
  </si>
  <si>
    <t>Manoranjan TV</t>
  </si>
  <si>
    <t>Bhakti TV</t>
  </si>
  <si>
    <t>MH 1</t>
  </si>
  <si>
    <t>Bindass</t>
  </si>
  <si>
    <t>MH 1 News</t>
  </si>
  <si>
    <t>Bindass Movies</t>
  </si>
  <si>
    <t>MH 1 Shradha</t>
  </si>
  <si>
    <t>Channel 8</t>
  </si>
  <si>
    <t>Mi Marathi</t>
  </si>
  <si>
    <t>Channel V</t>
  </si>
  <si>
    <t>Music India</t>
  </si>
  <si>
    <t>Chardikla Time TV</t>
  </si>
  <si>
    <t>National Geographic</t>
  </si>
  <si>
    <t>Chutti TV</t>
  </si>
  <si>
    <t>NDTV 24X7</t>
  </si>
  <si>
    <t>CNBC TV 18</t>
  </si>
  <si>
    <t>NDTV India</t>
  </si>
  <si>
    <t>Awaaj</t>
  </si>
  <si>
    <t>NDTV Profit</t>
  </si>
  <si>
    <t>CNN IBN</t>
  </si>
  <si>
    <t>NDTV Goodtimes</t>
  </si>
  <si>
    <t>Delhi Aaj Tak</t>
  </si>
  <si>
    <t>NE Bangla</t>
  </si>
  <si>
    <t>Discovery Travel &amp; Living</t>
  </si>
  <si>
    <t>News 24</t>
  </si>
  <si>
    <t>Divya</t>
  </si>
  <si>
    <t>News X</t>
  </si>
  <si>
    <t>E-24</t>
  </si>
  <si>
    <t>N TV News</t>
  </si>
  <si>
    <t>ETC</t>
  </si>
  <si>
    <t>O TV</t>
  </si>
  <si>
    <t>ETC Punjabi</t>
  </si>
  <si>
    <t>PIX</t>
  </si>
  <si>
    <t>ETV Oriya</t>
  </si>
  <si>
    <t>PTC Punjabi</t>
  </si>
  <si>
    <t>ETV Gujarati</t>
  </si>
  <si>
    <t>Raj TV</t>
  </si>
  <si>
    <t>ETV Rajasthan</t>
  </si>
  <si>
    <t>Raj Musix</t>
  </si>
  <si>
    <t>ETV urdu</t>
  </si>
  <si>
    <t>Raj DIGITAL Plus</t>
  </si>
  <si>
    <t>ETV UP</t>
  </si>
  <si>
    <t>R Plus</t>
  </si>
  <si>
    <t>ETV 2</t>
  </si>
  <si>
    <t>Sanskar</t>
  </si>
  <si>
    <t>Firangi</t>
  </si>
  <si>
    <t>Samay</t>
  </si>
  <si>
    <t>Fox History</t>
  </si>
  <si>
    <t>Sangeet Bangla</t>
  </si>
  <si>
    <t>HBO</t>
  </si>
  <si>
    <t>SS UP</t>
  </si>
  <si>
    <t>Headlines Today</t>
  </si>
  <si>
    <t>SS NCR</t>
  </si>
  <si>
    <t>IBN Lokmat</t>
  </si>
  <si>
    <t>SS Mumbai</t>
  </si>
  <si>
    <t>India News</t>
  </si>
  <si>
    <t>Times Now</t>
  </si>
  <si>
    <t>Indiavision</t>
  </si>
  <si>
    <t>TV 5 Telugu News</t>
  </si>
  <si>
    <t>Isai Aruvi</t>
  </si>
  <si>
    <t>Tv 9 Gujarati</t>
  </si>
  <si>
    <t>Imagine Showbiz</t>
  </si>
  <si>
    <t>Vissa</t>
  </si>
  <si>
    <t>Kiran</t>
  </si>
  <si>
    <t>Zee 24 Taas</t>
  </si>
  <si>
    <t>Kolkatta TV</t>
  </si>
  <si>
    <t>Voice of India</t>
  </si>
  <si>
    <t>Live India</t>
  </si>
  <si>
    <t>Vasant TV</t>
  </si>
  <si>
    <t>Mahu</t>
  </si>
  <si>
    <t>UTV i</t>
  </si>
  <si>
    <t>Sri Venkatwara</t>
  </si>
  <si>
    <t>Zee Talkies</t>
  </si>
  <si>
    <t>Star Ananda</t>
  </si>
  <si>
    <t>Zee Studio</t>
  </si>
  <si>
    <t>Star Majha</t>
  </si>
  <si>
    <t>Zee Smile</t>
  </si>
  <si>
    <t>Star Movies</t>
  </si>
  <si>
    <t>Zee Punjabi</t>
  </si>
  <si>
    <t>Star World</t>
  </si>
  <si>
    <t>Zee Preimer</t>
  </si>
  <si>
    <t>Suvarna</t>
  </si>
  <si>
    <t>Zee Jagran</t>
  </si>
  <si>
    <t>Suvarna News</t>
  </si>
  <si>
    <t>Zee Action</t>
  </si>
  <si>
    <t>Tara Music</t>
  </si>
  <si>
    <t>Zee Classic</t>
  </si>
  <si>
    <t>Tez</t>
  </si>
  <si>
    <t>ETV Bihar</t>
  </si>
  <si>
    <t>NE Hi Fi</t>
  </si>
  <si>
    <t>SS Bihar</t>
  </si>
  <si>
    <t>News Live</t>
  </si>
  <si>
    <t>NE TV</t>
  </si>
  <si>
    <t>ESPN</t>
  </si>
  <si>
    <t>Star Cricket</t>
  </si>
  <si>
    <t>Zee Sports</t>
  </si>
  <si>
    <t>Star Sports</t>
  </si>
  <si>
    <t>Ten Sports</t>
  </si>
  <si>
    <t>LOK SABHA TV</t>
  </si>
  <si>
    <t>7-10 am</t>
  </si>
  <si>
    <t>10am-7pm</t>
  </si>
  <si>
    <t>7 pm-11 pm</t>
  </si>
  <si>
    <t>Subcription Model</t>
  </si>
  <si>
    <t>Revenue Type</t>
  </si>
  <si>
    <t>B2C</t>
  </si>
  <si>
    <t>B2B</t>
  </si>
  <si>
    <t>GSPL's (B2C) assured Platinium Access (Measured + Monitored+ Controlled) &amp; Hospital at Home Services to Premium Customers (Heart,Diabetes,Cancer,Stroke,Dialysis)</t>
  </si>
  <si>
    <r>
      <t>GSPL's EV Manufacturing/JV Opportuinity; Entry into EV Passenger Vehicles &amp;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iAmbulance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worldwide distribution Model</t>
    </r>
  </si>
  <si>
    <t>GSPL's EV charging stations powered by AgriVoltaiacs/Solar Farming powering the nearby Charging Stations for ALL</t>
  </si>
  <si>
    <t>Government &amp; Defence</t>
  </si>
  <si>
    <t>B2B &amp; C</t>
  </si>
  <si>
    <r>
      <t xml:space="preserve">Freemium
</t>
    </r>
    <r>
      <rPr>
        <i/>
        <sz val="11"/>
        <color theme="1"/>
        <rFont val="Calibri"/>
        <family val="2"/>
        <scheme val="minor"/>
      </rPr>
      <t>Subscriptions/ Rev Sharing Model for Premium</t>
    </r>
  </si>
  <si>
    <t>Transaction Based Pricing</t>
  </si>
  <si>
    <t>All Healthcare centers</t>
  </si>
  <si>
    <t>Timeline
End</t>
  </si>
  <si>
    <t>Timeline
Start</t>
  </si>
  <si>
    <t>*Multimedia Ads at Signals only on  2 Sides
*Still Ads for rest travel time
*Mulitmedia Ads on the Top</t>
  </si>
  <si>
    <t>Service Subsriptions from Heart Patients, Cancer Patients, Stroke Patients with First 6 months on Freemium; Monthly/Quarterly/yearly Subsricption Fee</t>
  </si>
  <si>
    <t>Side Screen</t>
  </si>
  <si>
    <t>Top Side Screen- 0.5 rs per second</t>
  </si>
  <si>
    <t>Assumption  - Loksabha TV Ads for 10sec</t>
  </si>
  <si>
    <t>No. of Ambulance = Population/1,000,000</t>
  </si>
  <si>
    <t>eAmbulances per million</t>
  </si>
  <si>
    <t>eBike Ambulance per 100,000</t>
  </si>
  <si>
    <t>eCycle Assistance per 1,000</t>
  </si>
  <si>
    <t xml:space="preserve">Indian Population </t>
  </si>
  <si>
    <t>Per Day Trip</t>
  </si>
  <si>
    <t>Speed reduction range for every unit (KM/H) reduction</t>
  </si>
  <si>
    <t>No. of Assets</t>
  </si>
  <si>
    <t>Cost</t>
  </si>
  <si>
    <t>Talent Expense per eAmbulance</t>
  </si>
  <si>
    <t>Talent Expense per eBike</t>
  </si>
  <si>
    <t>Talent Expense per eCycle</t>
  </si>
  <si>
    <t>1 Driver+ 1 Paramedic + 1 Doctor</t>
  </si>
  <si>
    <t>30,000+45,000+60,000 | Per Shift</t>
  </si>
  <si>
    <t>Night Shift</t>
  </si>
  <si>
    <t>33,000+49,500+66,000 | Per Shift</t>
  </si>
  <si>
    <t>Per Month Per eAmbulance Talent Exp</t>
  </si>
  <si>
    <t>1 Paramedic</t>
  </si>
  <si>
    <t>60,000 | Per Shift</t>
  </si>
  <si>
    <t>66,000 | Per Shift</t>
  </si>
  <si>
    <t>Per Month Per eBike Talent Exp</t>
  </si>
  <si>
    <t>Per Year Per eAmbulance Talent Exp</t>
  </si>
  <si>
    <t>Per Year Per eBike Talent Exp</t>
  </si>
  <si>
    <t>Recharge Expenses</t>
  </si>
  <si>
    <t>Total In Re</t>
  </si>
  <si>
    <t>Total In USD</t>
  </si>
  <si>
    <t>Total in USD</t>
  </si>
  <si>
    <t>Investment Amount Per Person In India in USD</t>
  </si>
  <si>
    <t>Operational Expense/KM</t>
  </si>
  <si>
    <t>25 kmph for 22 hours</t>
  </si>
  <si>
    <t>30 kmph for 22 hours</t>
  </si>
  <si>
    <t>8 kmph for 22 hours</t>
  </si>
  <si>
    <t>Optimize Golden Hour</t>
  </si>
  <si>
    <t>To be Reliable Friend for Everybody in Healthcare</t>
  </si>
  <si>
    <t>Giving fighting chance to Family in Healthcare</t>
  </si>
  <si>
    <t>Cost of eAmbulance is 2.5 million Rs</t>
  </si>
  <si>
    <t>Cost of eBike is 100K in Rs</t>
  </si>
  <si>
    <t>Cost of eCycle is 25K in Rs</t>
  </si>
  <si>
    <t># of Paramedics, Docs (Talent)</t>
  </si>
  <si>
    <t>Value of Assets</t>
  </si>
  <si>
    <t>Value of Talent</t>
  </si>
  <si>
    <t xml:space="preserve">At an Investment of 31 USD per person GSPL to have access of 1 Sqkm population density at cost of 1 USD 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</si>
</sst>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72" formatCode="_(* #,##0_);_(* \(#,##0\);_(* &quot;-&quot;??_);_(@_)"/>
    <numFmt numFmtId="174" formatCode="_(* #,##0_);_(* \(#,##0\);_(* &quot;-&quot;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000000"/>
      <name val="Verdana"/>
      <family val="2"/>
    </font>
    <font>
      <b/>
      <sz val="8"/>
      <color rgb="FF000000"/>
      <name val="Verdana"/>
      <family val="2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4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7" fontId="0" fillId="0" borderId="2" xfId="0" applyNumberFormat="1" applyBorder="1" applyAlignment="1">
      <alignment horizontal="center" vertical="center" wrapText="1"/>
    </xf>
    <xf numFmtId="172" fontId="0" fillId="0" borderId="0" xfId="1" applyNumberFormat="1" applyFont="1"/>
    <xf numFmtId="0" fontId="0" fillId="0" borderId="2" xfId="0" applyBorder="1" applyAlignment="1">
      <alignment horizontal="center"/>
    </xf>
    <xf numFmtId="0" fontId="0" fillId="0" borderId="2" xfId="0" applyBorder="1" applyAlignment="1"/>
    <xf numFmtId="172" fontId="0" fillId="0" borderId="2" xfId="1" applyNumberFormat="1" applyFont="1" applyBorder="1" applyAlignment="1"/>
    <xf numFmtId="0" fontId="0" fillId="0" borderId="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172" fontId="0" fillId="0" borderId="0" xfId="0" applyNumberFormat="1"/>
    <xf numFmtId="174" fontId="0" fillId="0" borderId="0" xfId="0" applyNumberFormat="1"/>
    <xf numFmtId="1" fontId="0" fillId="0" borderId="0" xfId="0" applyNumberFormat="1"/>
    <xf numFmtId="0" fontId="4" fillId="0" borderId="0" xfId="0" applyFont="1"/>
    <xf numFmtId="172" fontId="4" fillId="0" borderId="0" xfId="1" applyNumberFormat="1" applyFont="1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172" fontId="0" fillId="0" borderId="2" xfId="1" applyNumberFormat="1" applyFont="1" applyBorder="1" applyAlignment="1">
      <alignment horizontal="center" vertical="center"/>
    </xf>
    <xf numFmtId="172" fontId="0" fillId="0" borderId="2" xfId="0" applyNumberFormat="1" applyBorder="1" applyAlignment="1">
      <alignment horizontal="center"/>
    </xf>
    <xf numFmtId="172" fontId="0" fillId="0" borderId="2" xfId="0" applyNumberFormat="1" applyBorder="1"/>
    <xf numFmtId="43" fontId="0" fillId="0" borderId="0" xfId="0" applyNumberFormat="1"/>
    <xf numFmtId="0" fontId="0" fillId="0" borderId="0" xfId="0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72" fontId="0" fillId="0" borderId="0" xfId="0" applyNumberFormat="1" applyBorder="1"/>
    <xf numFmtId="174" fontId="0" fillId="0" borderId="0" xfId="0" applyNumberFormat="1" applyBorder="1"/>
    <xf numFmtId="0" fontId="0" fillId="0" borderId="10" xfId="0" applyBorder="1"/>
    <xf numFmtId="0" fontId="0" fillId="0" borderId="11" xfId="0" applyBorder="1"/>
    <xf numFmtId="172" fontId="0" fillId="0" borderId="12" xfId="0" applyNumberFormat="1" applyBorder="1"/>
    <xf numFmtId="172" fontId="0" fillId="0" borderId="12" xfId="1" applyNumberFormat="1" applyFont="1" applyBorder="1"/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4" fillId="0" borderId="19" xfId="0" applyFont="1" applyFill="1" applyBorder="1" applyAlignment="1"/>
    <xf numFmtId="0" fontId="0" fillId="0" borderId="20" xfId="0" applyBorder="1" applyAlignment="1">
      <alignment horizontal="center"/>
    </xf>
    <xf numFmtId="43" fontId="4" fillId="0" borderId="21" xfId="0" applyNumberFormat="1" applyFont="1" applyBorder="1" applyAlignment="1"/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172" fontId="0" fillId="0" borderId="23" xfId="0" applyNumberFormat="1" applyBorder="1"/>
    <xf numFmtId="0" fontId="0" fillId="0" borderId="5" xfId="0" applyBorder="1"/>
    <xf numFmtId="43" fontId="0" fillId="0" borderId="5" xfId="0" applyNumberFormat="1" applyBorder="1"/>
    <xf numFmtId="172" fontId="0" fillId="0" borderId="5" xfId="0" applyNumberFormat="1" applyBorder="1"/>
    <xf numFmtId="172" fontId="0" fillId="0" borderId="0" xfId="0" applyNumberFormat="1" applyBorder="1" applyAlignment="1">
      <alignment horizontal="center" vertical="center" wrapText="1"/>
    </xf>
    <xf numFmtId="0" fontId="2" fillId="2" borderId="0" xfId="0" applyFont="1" applyFill="1"/>
    <xf numFmtId="0" fontId="0" fillId="3" borderId="0" xfId="0" applyFill="1"/>
    <xf numFmtId="0" fontId="4" fillId="3" borderId="0" xfId="0" applyFont="1" applyFill="1"/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5" xfId="0" applyBorder="1"/>
    <xf numFmtId="172" fontId="0" fillId="0" borderId="35" xfId="0" applyNumberFormat="1" applyBorder="1" applyAlignment="1">
      <alignment horizontal="center" vertical="center" wrapText="1"/>
    </xf>
    <xf numFmtId="172" fontId="0" fillId="0" borderId="35" xfId="0" applyNumberFormat="1" applyBorder="1"/>
    <xf numFmtId="0" fontId="0" fillId="0" borderId="3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7" xfId="0" applyBorder="1"/>
    <xf numFmtId="0" fontId="0" fillId="0" borderId="38" xfId="0" applyBorder="1"/>
    <xf numFmtId="0" fontId="0" fillId="0" borderId="39" xfId="0" applyBorder="1" applyAlignment="1">
      <alignment horizontal="center" vertical="center" wrapText="1"/>
    </xf>
    <xf numFmtId="0" fontId="0" fillId="0" borderId="40" xfId="0" applyBorder="1"/>
    <xf numFmtId="0" fontId="0" fillId="0" borderId="41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172" fontId="0" fillId="0" borderId="43" xfId="1" applyNumberFormat="1" applyFont="1" applyBorder="1"/>
    <xf numFmtId="172" fontId="0" fillId="0" borderId="42" xfId="0" applyNumberForma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74" fontId="0" fillId="0" borderId="35" xfId="0" applyNumberFormat="1" applyBorder="1"/>
    <xf numFmtId="172" fontId="0" fillId="0" borderId="40" xfId="0" applyNumberFormat="1" applyBorder="1"/>
    <xf numFmtId="174" fontId="0" fillId="0" borderId="42" xfId="0" applyNumberFormat="1" applyBorder="1"/>
    <xf numFmtId="172" fontId="0" fillId="0" borderId="43" xfId="0" applyNumberFormat="1" applyBorder="1"/>
    <xf numFmtId="172" fontId="0" fillId="0" borderId="40" xfId="1" applyNumberFormat="1" applyFont="1" applyBorder="1"/>
    <xf numFmtId="0" fontId="0" fillId="0" borderId="42" xfId="0" applyBorder="1"/>
    <xf numFmtId="1" fontId="0" fillId="0" borderId="40" xfId="0" applyNumberFormat="1" applyBorder="1"/>
    <xf numFmtId="172" fontId="0" fillId="0" borderId="44" xfId="0" applyNumberFormat="1" applyBorder="1"/>
    <xf numFmtId="1" fontId="8" fillId="0" borderId="24" xfId="0" applyNumberFormat="1" applyFont="1" applyFill="1" applyBorder="1"/>
    <xf numFmtId="0" fontId="5" fillId="4" borderId="0" xfId="0" applyFont="1" applyFill="1"/>
    <xf numFmtId="0" fontId="2" fillId="4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76200</xdr:colOff>
      <xdr:row>10</xdr:row>
      <xdr:rowOff>0</xdr:rowOff>
    </xdr:to>
    <xdr:pic>
      <xdr:nvPicPr>
        <xdr:cNvPr id="3" name="Picture 2" descr="Ambulance.run ( GoldenHour Systems Pvt Ltd ) | LinkedIn">
          <a:extLst>
            <a:ext uri="{FF2B5EF4-FFF2-40B4-BE49-F238E27FC236}">
              <a16:creationId xmlns:a16="http://schemas.microsoft.com/office/drawing/2014/main" id="{25EA1046-C6C2-4822-A399-4FC1F52ED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05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0</xdr:rowOff>
    </xdr:from>
    <xdr:to>
      <xdr:col>9</xdr:col>
      <xdr:colOff>590550</xdr:colOff>
      <xdr:row>10</xdr:row>
      <xdr:rowOff>0</xdr:rowOff>
    </xdr:to>
    <xdr:pic>
      <xdr:nvPicPr>
        <xdr:cNvPr id="2" name="Picture 1" descr="Ambulance.run ( GoldenHour Systems Pvt Ltd ) | LinkedIn">
          <a:extLst>
            <a:ext uri="{FF2B5EF4-FFF2-40B4-BE49-F238E27FC236}">
              <a16:creationId xmlns:a16="http://schemas.microsoft.com/office/drawing/2014/main" id="{01B65B77-871A-4B84-BEEE-FE002BE17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1950" y="0"/>
          <a:ext cx="1905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333374</xdr:colOff>
      <xdr:row>3</xdr:row>
      <xdr:rowOff>9525</xdr:rowOff>
    </xdr:from>
    <xdr:to>
      <xdr:col>14</xdr:col>
      <xdr:colOff>295275</xdr:colOff>
      <xdr:row>6</xdr:row>
      <xdr:rowOff>714375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878536-8290-43FE-90B4-F688AFBE97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543" t="25132" r="32791" b="7326"/>
        <a:stretch/>
      </xdr:blipFill>
      <xdr:spPr>
        <a:xfrm>
          <a:off x="21507449" y="1914525"/>
          <a:ext cx="3619501" cy="2228850"/>
        </a:xfrm>
        <a:prstGeom prst="rect">
          <a:avLst/>
        </a:prstGeom>
      </xdr:spPr>
    </xdr:pic>
    <xdr:clientData/>
  </xdr:twoCellAnchor>
  <xdr:twoCellAnchor editAs="oneCell">
    <xdr:from>
      <xdr:col>9</xdr:col>
      <xdr:colOff>409574</xdr:colOff>
      <xdr:row>0</xdr:row>
      <xdr:rowOff>0</xdr:rowOff>
    </xdr:from>
    <xdr:to>
      <xdr:col>12</xdr:col>
      <xdr:colOff>485774</xdr:colOff>
      <xdr:row>3</xdr:row>
      <xdr:rowOff>0</xdr:rowOff>
    </xdr:to>
    <xdr:pic>
      <xdr:nvPicPr>
        <xdr:cNvPr id="3" name="Picture 2" descr="Ambulance.run ( GoldenHour Systems Pvt Ltd ) | LinkedIn">
          <a:extLst>
            <a:ext uri="{FF2B5EF4-FFF2-40B4-BE49-F238E27FC236}">
              <a16:creationId xmlns:a16="http://schemas.microsoft.com/office/drawing/2014/main" id="{570EA31B-C30F-4F80-B6A4-9B712FA54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93249" y="0"/>
          <a:ext cx="1905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0</xdr:rowOff>
    </xdr:from>
    <xdr:to>
      <xdr:col>11</xdr:col>
      <xdr:colOff>428625</xdr:colOff>
      <xdr:row>15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48388F-1619-407B-9402-55C3049B0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0"/>
          <a:ext cx="7010400" cy="42100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685B3-400A-48F8-9EEC-4B1D0B8A7075}">
  <dimension ref="A1:AE40"/>
  <sheetViews>
    <sheetView workbookViewId="0">
      <selection activeCell="K16" sqref="K16"/>
    </sheetView>
  </sheetViews>
  <sheetFormatPr defaultRowHeight="15" x14ac:dyDescent="0.25"/>
  <cols>
    <col min="5" max="5" width="9.140625" customWidth="1"/>
  </cols>
  <sheetData>
    <row r="1" spans="1:31" x14ac:dyDescent="0.25">
      <c r="D1" s="53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</row>
    <row r="2" spans="1:31" x14ac:dyDescent="0.25">
      <c r="D2" s="53"/>
      <c r="E2" s="91" t="s">
        <v>3</v>
      </c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</row>
    <row r="3" spans="1:31" x14ac:dyDescent="0.25">
      <c r="D3" s="53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</row>
    <row r="4" spans="1:31" x14ac:dyDescent="0.25">
      <c r="D4" s="53"/>
      <c r="E4" s="91" t="s">
        <v>0</v>
      </c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</row>
    <row r="5" spans="1:31" x14ac:dyDescent="0.25">
      <c r="D5" s="53"/>
      <c r="E5" s="91" t="s">
        <v>1</v>
      </c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</row>
    <row r="6" spans="1:31" x14ac:dyDescent="0.25">
      <c r="D6" s="53"/>
      <c r="E6" s="91" t="s">
        <v>2</v>
      </c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</row>
    <row r="7" spans="1:31" x14ac:dyDescent="0.25">
      <c r="D7" s="53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</row>
    <row r="8" spans="1:31" x14ac:dyDescent="0.25">
      <c r="D8" s="53"/>
      <c r="E8" s="91" t="s">
        <v>4</v>
      </c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</row>
    <row r="9" spans="1:31" x14ac:dyDescent="0.25">
      <c r="D9" s="53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</row>
    <row r="10" spans="1:31" x14ac:dyDescent="0.25">
      <c r="A10" s="53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</row>
    <row r="11" spans="1:31" x14ac:dyDescent="0.25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</row>
    <row r="12" spans="1:31" x14ac:dyDescent="0.25">
      <c r="A12" s="53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</row>
    <row r="13" spans="1:31" x14ac:dyDescent="0.25">
      <c r="A13" s="53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</row>
    <row r="14" spans="1:31" x14ac:dyDescent="0.25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</row>
    <row r="15" spans="1:31" x14ac:dyDescent="0.25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</row>
    <row r="16" spans="1:31" x14ac:dyDescent="0.25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</row>
    <row r="17" spans="1:31" x14ac:dyDescent="0.25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</row>
    <row r="18" spans="1:31" x14ac:dyDescent="0.25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</row>
    <row r="19" spans="1:31" x14ac:dyDescent="0.25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</row>
    <row r="20" spans="1:31" x14ac:dyDescent="0.25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</row>
    <row r="21" spans="1:31" x14ac:dyDescent="0.25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</row>
    <row r="22" spans="1:31" x14ac:dyDescent="0.25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</row>
    <row r="23" spans="1:31" x14ac:dyDescent="0.25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</row>
    <row r="24" spans="1:31" x14ac:dyDescent="0.25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</row>
    <row r="25" spans="1:31" x14ac:dyDescent="0.25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</row>
    <row r="26" spans="1:31" x14ac:dyDescent="0.25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</row>
    <row r="27" spans="1:31" x14ac:dyDescent="0.25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</row>
    <row r="28" spans="1:31" x14ac:dyDescent="0.25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</row>
    <row r="29" spans="1:31" x14ac:dyDescent="0.25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</row>
    <row r="30" spans="1:31" x14ac:dyDescent="0.25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</row>
    <row r="31" spans="1:31" x14ac:dyDescent="0.25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</row>
    <row r="32" spans="1:31" x14ac:dyDescent="0.25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</row>
    <row r="33" spans="1:31" x14ac:dyDescent="0.25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</row>
    <row r="34" spans="1:31" x14ac:dyDescent="0.25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</row>
    <row r="35" spans="1:31" x14ac:dyDescent="0.25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</row>
    <row r="36" spans="1:31" x14ac:dyDescent="0.25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</row>
    <row r="37" spans="1:31" x14ac:dyDescent="0.25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</row>
    <row r="38" spans="1:31" x14ac:dyDescent="0.25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</row>
    <row r="39" spans="1:31" x14ac:dyDescent="0.25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</row>
    <row r="40" spans="1:31" x14ac:dyDescent="0.25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A76A6-2078-44C6-BB1D-797601023143}">
  <dimension ref="A1:AO218"/>
  <sheetViews>
    <sheetView workbookViewId="0">
      <selection activeCell="O9" sqref="O9"/>
    </sheetView>
  </sheetViews>
  <sheetFormatPr defaultRowHeight="15" x14ac:dyDescent="0.25"/>
  <sheetData>
    <row r="1" spans="1:41" x14ac:dyDescent="0.25">
      <c r="A1" s="52" t="s">
        <v>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</row>
    <row r="2" spans="1:41" x14ac:dyDescent="0.25">
      <c r="A2" s="54" t="s">
        <v>254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</row>
    <row r="3" spans="1:41" x14ac:dyDescent="0.25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</row>
    <row r="4" spans="1:41" x14ac:dyDescent="0.25">
      <c r="A4" s="52" t="s">
        <v>6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</row>
    <row r="5" spans="1:41" x14ac:dyDescent="0.25">
      <c r="A5" s="54" t="s">
        <v>253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</row>
    <row r="6" spans="1:41" x14ac:dyDescent="0.25">
      <c r="A6" s="54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</row>
    <row r="7" spans="1:41" x14ac:dyDescent="0.25">
      <c r="A7" s="52" t="s">
        <v>7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</row>
    <row r="8" spans="1:41" x14ac:dyDescent="0.25">
      <c r="A8" s="54" t="s">
        <v>255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</row>
    <row r="9" spans="1:41" x14ac:dyDescent="0.25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</row>
    <row r="10" spans="1:41" x14ac:dyDescent="0.25">
      <c r="A10" s="53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</row>
    <row r="11" spans="1:41" x14ac:dyDescent="0.25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</row>
    <row r="12" spans="1:41" x14ac:dyDescent="0.25">
      <c r="A12" s="53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</row>
    <row r="13" spans="1:41" x14ac:dyDescent="0.25">
      <c r="A13" s="53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</row>
    <row r="14" spans="1:41" x14ac:dyDescent="0.25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</row>
    <row r="15" spans="1:41" x14ac:dyDescent="0.25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</row>
    <row r="16" spans="1:41" x14ac:dyDescent="0.25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</row>
    <row r="17" spans="1:41" x14ac:dyDescent="0.25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</row>
    <row r="18" spans="1:41" x14ac:dyDescent="0.25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</row>
    <row r="19" spans="1:41" x14ac:dyDescent="0.25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</row>
    <row r="20" spans="1:41" x14ac:dyDescent="0.25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</row>
    <row r="21" spans="1:41" x14ac:dyDescent="0.25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</row>
    <row r="22" spans="1:41" x14ac:dyDescent="0.25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</row>
    <row r="23" spans="1:41" x14ac:dyDescent="0.25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</row>
    <row r="24" spans="1:41" x14ac:dyDescent="0.25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</row>
    <row r="25" spans="1:41" x14ac:dyDescent="0.25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</row>
    <row r="26" spans="1:41" x14ac:dyDescent="0.25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</row>
    <row r="27" spans="1:41" x14ac:dyDescent="0.25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</row>
    <row r="28" spans="1:41" x14ac:dyDescent="0.25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</row>
    <row r="29" spans="1:41" x14ac:dyDescent="0.25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</row>
    <row r="30" spans="1:41" x14ac:dyDescent="0.25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</row>
    <row r="31" spans="1:41" x14ac:dyDescent="0.25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</row>
    <row r="32" spans="1:41" x14ac:dyDescent="0.25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</row>
    <row r="33" spans="1:41" x14ac:dyDescent="0.25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</row>
    <row r="34" spans="1:41" x14ac:dyDescent="0.25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</row>
    <row r="35" spans="1:41" x14ac:dyDescent="0.25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</row>
    <row r="36" spans="1:41" x14ac:dyDescent="0.25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</row>
    <row r="37" spans="1:41" x14ac:dyDescent="0.25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</row>
    <row r="38" spans="1:41" x14ac:dyDescent="0.25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</row>
    <row r="39" spans="1:41" x14ac:dyDescent="0.25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</row>
    <row r="40" spans="1:41" x14ac:dyDescent="0.25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</row>
    <row r="41" spans="1:41" x14ac:dyDescent="0.25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</row>
    <row r="42" spans="1:41" x14ac:dyDescent="0.25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</row>
    <row r="43" spans="1:41" x14ac:dyDescent="0.25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</row>
    <row r="44" spans="1:41" x14ac:dyDescent="0.2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</row>
    <row r="45" spans="1:41" x14ac:dyDescent="0.2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</row>
    <row r="46" spans="1:41" x14ac:dyDescent="0.25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</row>
    <row r="47" spans="1:41" x14ac:dyDescent="0.25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</row>
    <row r="48" spans="1:41" x14ac:dyDescent="0.25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</row>
    <row r="49" spans="1:41" x14ac:dyDescent="0.25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</row>
    <row r="50" spans="1:41" x14ac:dyDescent="0.25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</row>
    <row r="51" spans="1:41" x14ac:dyDescent="0.25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</row>
    <row r="52" spans="1:41" x14ac:dyDescent="0.25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</row>
    <row r="53" spans="1:41" x14ac:dyDescent="0.25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</row>
    <row r="54" spans="1:41" x14ac:dyDescent="0.25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</row>
    <row r="55" spans="1:41" x14ac:dyDescent="0.25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</row>
    <row r="56" spans="1:41" x14ac:dyDescent="0.25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</row>
    <row r="57" spans="1:41" x14ac:dyDescent="0.25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</row>
    <row r="58" spans="1:41" x14ac:dyDescent="0.25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</row>
    <row r="59" spans="1:41" x14ac:dyDescent="0.25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</row>
    <row r="60" spans="1:41" x14ac:dyDescent="0.25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</row>
    <row r="61" spans="1:41" x14ac:dyDescent="0.25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</row>
    <row r="62" spans="1:41" x14ac:dyDescent="0.25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</row>
    <row r="63" spans="1:41" x14ac:dyDescent="0.25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</row>
    <row r="64" spans="1:41" x14ac:dyDescent="0.25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</row>
    <row r="65" spans="1:41" x14ac:dyDescent="0.25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</row>
    <row r="66" spans="1:41" x14ac:dyDescent="0.25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</row>
    <row r="67" spans="1:41" x14ac:dyDescent="0.25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</row>
    <row r="68" spans="1:41" x14ac:dyDescent="0.25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</row>
    <row r="69" spans="1:41" x14ac:dyDescent="0.25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</row>
    <row r="70" spans="1:41" x14ac:dyDescent="0.25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</row>
    <row r="71" spans="1:41" x14ac:dyDescent="0.25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</row>
    <row r="72" spans="1:41" x14ac:dyDescent="0.25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</row>
    <row r="73" spans="1:41" x14ac:dyDescent="0.25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</row>
    <row r="74" spans="1:41" x14ac:dyDescent="0.25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</row>
    <row r="75" spans="1:41" x14ac:dyDescent="0.25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</row>
    <row r="76" spans="1:41" x14ac:dyDescent="0.25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</row>
    <row r="77" spans="1:41" x14ac:dyDescent="0.25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</row>
    <row r="78" spans="1:41" x14ac:dyDescent="0.25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</row>
    <row r="79" spans="1:41" x14ac:dyDescent="0.25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</row>
    <row r="80" spans="1:41" x14ac:dyDescent="0.25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</row>
    <row r="81" spans="1:41" x14ac:dyDescent="0.25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</row>
    <row r="82" spans="1:41" x14ac:dyDescent="0.25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</row>
    <row r="83" spans="1:41" x14ac:dyDescent="0.25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</row>
    <row r="84" spans="1:41" x14ac:dyDescent="0.25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</row>
    <row r="85" spans="1:41" x14ac:dyDescent="0.25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</row>
    <row r="86" spans="1:41" x14ac:dyDescent="0.25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</row>
    <row r="87" spans="1:41" x14ac:dyDescent="0.25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</row>
    <row r="88" spans="1:41" x14ac:dyDescent="0.25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</row>
    <row r="89" spans="1:41" x14ac:dyDescent="0.25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</row>
    <row r="90" spans="1:41" x14ac:dyDescent="0.25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</row>
    <row r="91" spans="1:41" x14ac:dyDescent="0.25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</row>
    <row r="92" spans="1:41" x14ac:dyDescent="0.25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</row>
    <row r="93" spans="1:41" x14ac:dyDescent="0.25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</row>
    <row r="94" spans="1:41" x14ac:dyDescent="0.25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</row>
    <row r="95" spans="1:41" x14ac:dyDescent="0.25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</row>
    <row r="96" spans="1:41" x14ac:dyDescent="0.25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</row>
    <row r="97" spans="1:41" x14ac:dyDescent="0.25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</row>
    <row r="98" spans="1:41" x14ac:dyDescent="0.25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</row>
    <row r="99" spans="1:41" x14ac:dyDescent="0.25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</row>
    <row r="100" spans="1:41" x14ac:dyDescent="0.25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</row>
    <row r="101" spans="1:41" x14ac:dyDescent="0.25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</row>
    <row r="102" spans="1:41" x14ac:dyDescent="0.25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</row>
    <row r="103" spans="1:41" x14ac:dyDescent="0.25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</row>
    <row r="104" spans="1:41" x14ac:dyDescent="0.25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</row>
    <row r="105" spans="1:41" x14ac:dyDescent="0.25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</row>
    <row r="106" spans="1:41" x14ac:dyDescent="0.25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</row>
    <row r="107" spans="1:41" x14ac:dyDescent="0.25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</row>
    <row r="108" spans="1:41" x14ac:dyDescent="0.25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</row>
    <row r="109" spans="1:41" x14ac:dyDescent="0.25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</row>
    <row r="110" spans="1:41" x14ac:dyDescent="0.25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</row>
    <row r="111" spans="1:41" x14ac:dyDescent="0.25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</row>
    <row r="112" spans="1:41" x14ac:dyDescent="0.25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</row>
    <row r="113" spans="1:41" x14ac:dyDescent="0.25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</row>
    <row r="114" spans="1:41" x14ac:dyDescent="0.25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</row>
    <row r="115" spans="1:41" x14ac:dyDescent="0.2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</row>
    <row r="116" spans="1:41" x14ac:dyDescent="0.25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</row>
    <row r="117" spans="1:41" x14ac:dyDescent="0.25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</row>
    <row r="118" spans="1:41" x14ac:dyDescent="0.25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</row>
    <row r="119" spans="1:41" x14ac:dyDescent="0.25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</row>
    <row r="120" spans="1:41" x14ac:dyDescent="0.25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</row>
    <row r="121" spans="1:41" x14ac:dyDescent="0.25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</row>
    <row r="122" spans="1:41" x14ac:dyDescent="0.25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</row>
    <row r="123" spans="1:41" x14ac:dyDescent="0.25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</row>
    <row r="124" spans="1:41" x14ac:dyDescent="0.25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</row>
    <row r="125" spans="1:41" x14ac:dyDescent="0.2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</row>
    <row r="126" spans="1:41" x14ac:dyDescent="0.25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</row>
    <row r="127" spans="1:41" x14ac:dyDescent="0.25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</row>
    <row r="128" spans="1:41" x14ac:dyDescent="0.25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</row>
    <row r="129" spans="1:41" x14ac:dyDescent="0.25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</row>
    <row r="130" spans="1:41" x14ac:dyDescent="0.25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</row>
    <row r="131" spans="1:41" x14ac:dyDescent="0.25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</row>
    <row r="132" spans="1:41" x14ac:dyDescent="0.25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</row>
    <row r="133" spans="1:41" x14ac:dyDescent="0.25"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</row>
    <row r="134" spans="1:41" x14ac:dyDescent="0.25"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</row>
    <row r="135" spans="1:41" x14ac:dyDescent="0.25"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</row>
    <row r="136" spans="1:41" x14ac:dyDescent="0.25"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</row>
    <row r="137" spans="1:41" x14ac:dyDescent="0.25"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</row>
    <row r="138" spans="1:41" x14ac:dyDescent="0.25"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</row>
    <row r="139" spans="1:41" x14ac:dyDescent="0.25"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</row>
    <row r="140" spans="1:41" x14ac:dyDescent="0.25"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</row>
    <row r="141" spans="1:41" x14ac:dyDescent="0.25"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</row>
    <row r="142" spans="1:41" x14ac:dyDescent="0.25"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</row>
    <row r="143" spans="1:41" x14ac:dyDescent="0.25"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</row>
    <row r="144" spans="1:41" x14ac:dyDescent="0.25"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</row>
    <row r="145" spans="15:41" x14ac:dyDescent="0.25"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</row>
    <row r="146" spans="15:41" x14ac:dyDescent="0.25"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</row>
    <row r="147" spans="15:41" x14ac:dyDescent="0.25"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</row>
    <row r="148" spans="15:41" x14ac:dyDescent="0.25"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</row>
    <row r="149" spans="15:41" x14ac:dyDescent="0.25"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</row>
    <row r="150" spans="15:41" x14ac:dyDescent="0.25"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</row>
    <row r="151" spans="15:41" x14ac:dyDescent="0.25"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</row>
    <row r="152" spans="15:41" x14ac:dyDescent="0.25"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</row>
    <row r="153" spans="15:41" x14ac:dyDescent="0.25"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</row>
    <row r="154" spans="15:41" x14ac:dyDescent="0.25"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</row>
    <row r="155" spans="15:41" x14ac:dyDescent="0.25"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</row>
    <row r="156" spans="15:41" x14ac:dyDescent="0.25"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</row>
    <row r="157" spans="15:41" x14ac:dyDescent="0.25"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</row>
    <row r="158" spans="15:41" x14ac:dyDescent="0.25"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</row>
    <row r="159" spans="15:41" x14ac:dyDescent="0.25"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</row>
    <row r="160" spans="15:41" x14ac:dyDescent="0.25"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</row>
    <row r="161" spans="15:41" x14ac:dyDescent="0.25"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</row>
    <row r="162" spans="15:41" x14ac:dyDescent="0.25"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</row>
    <row r="163" spans="15:41" x14ac:dyDescent="0.25"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</row>
    <row r="164" spans="15:41" x14ac:dyDescent="0.25"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</row>
    <row r="165" spans="15:41" x14ac:dyDescent="0.25"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</row>
    <row r="166" spans="15:41" x14ac:dyDescent="0.25"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</row>
    <row r="167" spans="15:41" x14ac:dyDescent="0.25"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</row>
    <row r="168" spans="15:41" x14ac:dyDescent="0.25"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</row>
    <row r="169" spans="15:41" x14ac:dyDescent="0.25"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</row>
    <row r="170" spans="15:41" x14ac:dyDescent="0.25"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</row>
    <row r="171" spans="15:41" x14ac:dyDescent="0.25"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</row>
    <row r="172" spans="15:41" x14ac:dyDescent="0.25"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</row>
    <row r="173" spans="15:41" x14ac:dyDescent="0.25"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</row>
    <row r="174" spans="15:41" x14ac:dyDescent="0.25"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</row>
    <row r="175" spans="15:41" x14ac:dyDescent="0.25"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</row>
    <row r="176" spans="15:41" x14ac:dyDescent="0.25"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</row>
    <row r="177" spans="15:41" x14ac:dyDescent="0.25"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</row>
    <row r="178" spans="15:41" x14ac:dyDescent="0.25"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</row>
    <row r="179" spans="15:41" x14ac:dyDescent="0.25"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</row>
    <row r="180" spans="15:41" x14ac:dyDescent="0.25"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</row>
    <row r="181" spans="15:41" x14ac:dyDescent="0.25"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</row>
    <row r="182" spans="15:41" x14ac:dyDescent="0.25"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</row>
    <row r="183" spans="15:41" x14ac:dyDescent="0.25"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</row>
    <row r="184" spans="15:41" x14ac:dyDescent="0.25"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</row>
    <row r="185" spans="15:41" x14ac:dyDescent="0.25"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</row>
    <row r="186" spans="15:41" x14ac:dyDescent="0.25"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</row>
    <row r="187" spans="15:41" x14ac:dyDescent="0.25"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</row>
    <row r="188" spans="15:41" x14ac:dyDescent="0.25"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</row>
    <row r="189" spans="15:41" x14ac:dyDescent="0.25"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</row>
    <row r="190" spans="15:41" x14ac:dyDescent="0.25"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</row>
    <row r="191" spans="15:41" x14ac:dyDescent="0.25"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</row>
    <row r="192" spans="15:41" x14ac:dyDescent="0.25"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</row>
    <row r="193" spans="15:41" x14ac:dyDescent="0.25"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</row>
    <row r="194" spans="15:41" x14ac:dyDescent="0.25"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</row>
    <row r="195" spans="15:41" x14ac:dyDescent="0.25"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</row>
    <row r="196" spans="15:41" x14ac:dyDescent="0.25"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</row>
    <row r="197" spans="15:41" x14ac:dyDescent="0.25"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</row>
    <row r="198" spans="15:41" x14ac:dyDescent="0.25"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</row>
    <row r="199" spans="15:41" x14ac:dyDescent="0.25"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</row>
    <row r="200" spans="15:41" x14ac:dyDescent="0.25"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</row>
    <row r="201" spans="15:41" x14ac:dyDescent="0.25"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</row>
    <row r="202" spans="15:41" x14ac:dyDescent="0.25"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</row>
    <row r="203" spans="15:41" x14ac:dyDescent="0.25"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</row>
    <row r="204" spans="15:41" x14ac:dyDescent="0.25"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</row>
    <row r="205" spans="15:41" x14ac:dyDescent="0.25"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</row>
    <row r="206" spans="15:41" x14ac:dyDescent="0.25"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</row>
    <row r="207" spans="15:41" x14ac:dyDescent="0.25"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</row>
    <row r="208" spans="15:41" x14ac:dyDescent="0.25"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</row>
    <row r="209" spans="15:41" x14ac:dyDescent="0.25"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</row>
    <row r="210" spans="15:41" x14ac:dyDescent="0.25"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</row>
    <row r="211" spans="15:41" x14ac:dyDescent="0.25"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</row>
    <row r="212" spans="15:41" x14ac:dyDescent="0.25"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</row>
    <row r="213" spans="15:41" x14ac:dyDescent="0.25"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</row>
    <row r="214" spans="15:41" x14ac:dyDescent="0.25"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</row>
    <row r="215" spans="15:41" x14ac:dyDescent="0.25"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</row>
    <row r="216" spans="15:41" x14ac:dyDescent="0.25"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</row>
    <row r="217" spans="15:41" x14ac:dyDescent="0.25"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</row>
    <row r="218" spans="15:41" x14ac:dyDescent="0.25"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2E5D3-A234-4543-8A0C-9132429426D9}">
  <dimension ref="A1:H12"/>
  <sheetViews>
    <sheetView topLeftCell="C1" workbookViewId="0">
      <selection activeCell="S4" sqref="S4"/>
    </sheetView>
  </sheetViews>
  <sheetFormatPr defaultRowHeight="15" x14ac:dyDescent="0.25"/>
  <cols>
    <col min="1" max="1" width="10" style="2" customWidth="1"/>
    <col min="2" max="2" width="63.7109375" style="2" bestFit="1" customWidth="1"/>
    <col min="3" max="4" width="63.7109375" style="2" customWidth="1"/>
    <col min="5" max="5" width="31.5703125" style="2" customWidth="1"/>
    <col min="6" max="8" width="28.28515625" style="2" customWidth="1"/>
  </cols>
  <sheetData>
    <row r="1" spans="1:8" ht="30" x14ac:dyDescent="0.25">
      <c r="A1" s="5" t="s">
        <v>19</v>
      </c>
      <c r="B1" s="5" t="s">
        <v>11</v>
      </c>
      <c r="C1" s="5" t="s">
        <v>203</v>
      </c>
      <c r="D1" s="5" t="s">
        <v>36</v>
      </c>
      <c r="E1" s="5" t="s">
        <v>14</v>
      </c>
      <c r="F1" s="5" t="s">
        <v>13</v>
      </c>
      <c r="G1" s="5" t="s">
        <v>215</v>
      </c>
      <c r="H1" s="5" t="s">
        <v>214</v>
      </c>
    </row>
    <row r="2" spans="1:8" ht="45" x14ac:dyDescent="0.25">
      <c r="A2" s="6">
        <v>1</v>
      </c>
      <c r="B2" s="6" t="s">
        <v>4</v>
      </c>
      <c r="C2" s="6" t="s">
        <v>204</v>
      </c>
      <c r="D2" s="6" t="s">
        <v>25</v>
      </c>
      <c r="E2" s="6" t="s">
        <v>34</v>
      </c>
      <c r="F2" s="6" t="s">
        <v>221</v>
      </c>
      <c r="G2" s="7">
        <v>44927</v>
      </c>
      <c r="H2" s="6" t="s">
        <v>12</v>
      </c>
    </row>
    <row r="3" spans="1:8" ht="75" x14ac:dyDescent="0.25">
      <c r="A3" s="6">
        <v>2</v>
      </c>
      <c r="B3" s="6" t="s">
        <v>16</v>
      </c>
      <c r="C3" s="6" t="s">
        <v>204</v>
      </c>
      <c r="D3" s="6" t="s">
        <v>20</v>
      </c>
      <c r="E3" s="6" t="s">
        <v>29</v>
      </c>
      <c r="F3" s="6" t="s">
        <v>221</v>
      </c>
      <c r="G3" s="7">
        <v>44927</v>
      </c>
      <c r="H3" s="6" t="s">
        <v>10</v>
      </c>
    </row>
    <row r="4" spans="1:8" ht="45" x14ac:dyDescent="0.25">
      <c r="A4" s="6">
        <v>3</v>
      </c>
      <c r="B4" s="6" t="s">
        <v>18</v>
      </c>
      <c r="C4" s="6" t="s">
        <v>205</v>
      </c>
      <c r="D4" s="6" t="s">
        <v>26</v>
      </c>
      <c r="E4" s="6" t="s">
        <v>211</v>
      </c>
      <c r="F4" s="6" t="s">
        <v>213</v>
      </c>
      <c r="G4" s="6" t="s">
        <v>9</v>
      </c>
      <c r="H4" s="6" t="s">
        <v>9</v>
      </c>
    </row>
    <row r="5" spans="1:8" x14ac:dyDescent="0.25">
      <c r="A5" s="6">
        <v>4</v>
      </c>
      <c r="B5" s="6" t="s">
        <v>32</v>
      </c>
      <c r="C5" s="6" t="s">
        <v>209</v>
      </c>
      <c r="D5" s="6" t="s">
        <v>25</v>
      </c>
      <c r="E5" s="6" t="s">
        <v>33</v>
      </c>
      <c r="F5" s="6" t="s">
        <v>212</v>
      </c>
      <c r="G5" s="6"/>
      <c r="H5" s="6"/>
    </row>
    <row r="6" spans="1:8" ht="60" x14ac:dyDescent="0.25">
      <c r="A6" s="6">
        <v>5</v>
      </c>
      <c r="B6" s="6" t="s">
        <v>8</v>
      </c>
      <c r="C6" s="6" t="s">
        <v>205</v>
      </c>
      <c r="D6" s="6" t="s">
        <v>20</v>
      </c>
      <c r="E6" s="6" t="s">
        <v>30</v>
      </c>
      <c r="F6" s="6" t="s">
        <v>216</v>
      </c>
      <c r="G6" s="7">
        <v>44927</v>
      </c>
      <c r="H6" s="6"/>
    </row>
    <row r="7" spans="1:8" ht="90" x14ac:dyDescent="0.25">
      <c r="A7" s="6">
        <v>6</v>
      </c>
      <c r="B7" s="6" t="s">
        <v>206</v>
      </c>
      <c r="C7" s="6" t="s">
        <v>204</v>
      </c>
      <c r="D7" s="6" t="s">
        <v>21</v>
      </c>
      <c r="E7" s="6" t="s">
        <v>31</v>
      </c>
      <c r="F7" s="6" t="s">
        <v>217</v>
      </c>
      <c r="G7" s="7">
        <v>45017</v>
      </c>
      <c r="H7" s="6"/>
    </row>
    <row r="8" spans="1:8" ht="60" x14ac:dyDescent="0.25">
      <c r="A8" s="6">
        <v>7</v>
      </c>
      <c r="B8" s="6" t="s">
        <v>17</v>
      </c>
      <c r="C8" s="6" t="s">
        <v>205</v>
      </c>
      <c r="D8" s="6" t="s">
        <v>21</v>
      </c>
      <c r="E8" s="6" t="s">
        <v>202</v>
      </c>
      <c r="F8" s="6"/>
      <c r="G8" s="7">
        <v>45017</v>
      </c>
      <c r="H8" s="6"/>
    </row>
    <row r="9" spans="1:8" ht="30" x14ac:dyDescent="0.25">
      <c r="A9" s="6">
        <v>8</v>
      </c>
      <c r="B9" s="6" t="s">
        <v>207</v>
      </c>
      <c r="C9" s="6" t="s">
        <v>204</v>
      </c>
      <c r="D9" s="6" t="s">
        <v>22</v>
      </c>
      <c r="E9" s="6"/>
      <c r="F9" s="6"/>
      <c r="G9" s="7">
        <v>45658</v>
      </c>
      <c r="H9" s="6"/>
    </row>
    <row r="10" spans="1:8" ht="30" x14ac:dyDescent="0.25">
      <c r="A10" s="6">
        <v>9</v>
      </c>
      <c r="B10" s="6" t="s">
        <v>208</v>
      </c>
      <c r="C10" s="6" t="s">
        <v>204</v>
      </c>
      <c r="D10" s="6" t="s">
        <v>23</v>
      </c>
      <c r="E10" s="6"/>
      <c r="F10" s="6"/>
      <c r="G10" s="7">
        <v>45017</v>
      </c>
      <c r="H10" s="6"/>
    </row>
    <row r="11" spans="1:8" ht="30" x14ac:dyDescent="0.25">
      <c r="A11" s="6">
        <v>10</v>
      </c>
      <c r="B11" s="6" t="s">
        <v>15</v>
      </c>
      <c r="C11" s="6" t="s">
        <v>205</v>
      </c>
      <c r="D11" s="6" t="s">
        <v>24</v>
      </c>
      <c r="E11" s="6" t="s">
        <v>202</v>
      </c>
      <c r="F11" s="6"/>
      <c r="G11" s="7">
        <v>45627</v>
      </c>
      <c r="H11" s="6"/>
    </row>
    <row r="12" spans="1:8" x14ac:dyDescent="0.25">
      <c r="A12" s="6">
        <v>11</v>
      </c>
      <c r="B12" s="6" t="s">
        <v>27</v>
      </c>
      <c r="C12" s="6" t="s">
        <v>210</v>
      </c>
      <c r="D12" s="6" t="s">
        <v>28</v>
      </c>
      <c r="E12" s="6" t="s">
        <v>202</v>
      </c>
      <c r="F12" s="6"/>
      <c r="G12" s="7">
        <v>45992</v>
      </c>
      <c r="H12" s="6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8C8CB-E6F1-473A-B90F-57A28930F64C}">
  <dimension ref="A1:L44"/>
  <sheetViews>
    <sheetView tabSelected="1" zoomScaleNormal="100" workbookViewId="0">
      <selection activeCell="G19" sqref="G19"/>
    </sheetView>
  </sheetViews>
  <sheetFormatPr defaultRowHeight="15" x14ac:dyDescent="0.25"/>
  <cols>
    <col min="1" max="1" width="18" style="2" customWidth="1"/>
    <col min="2" max="2" width="39" style="2" customWidth="1"/>
    <col min="3" max="3" width="35.7109375" style="2" customWidth="1"/>
    <col min="4" max="4" width="22.28515625" style="2" bestFit="1" customWidth="1"/>
    <col min="5" max="5" width="26.28515625" bestFit="1" customWidth="1"/>
    <col min="6" max="6" width="23.5703125" bestFit="1" customWidth="1"/>
    <col min="7" max="7" width="15.28515625" bestFit="1" customWidth="1"/>
    <col min="8" max="8" width="37.140625" customWidth="1"/>
  </cols>
  <sheetData>
    <row r="1" spans="1:6" x14ac:dyDescent="0.25">
      <c r="A1" s="71" t="s">
        <v>19</v>
      </c>
      <c r="B1" s="71" t="s">
        <v>11</v>
      </c>
      <c r="C1" s="71" t="s">
        <v>203</v>
      </c>
      <c r="D1" s="71" t="s">
        <v>36</v>
      </c>
    </row>
    <row r="2" spans="1:6" ht="30" x14ac:dyDescent="0.25">
      <c r="A2" s="57">
        <v>1</v>
      </c>
      <c r="B2" s="57" t="s">
        <v>4</v>
      </c>
      <c r="C2" s="57" t="s">
        <v>204</v>
      </c>
      <c r="D2" s="57" t="s">
        <v>25</v>
      </c>
    </row>
    <row r="3" spans="1:6" ht="120" x14ac:dyDescent="0.25">
      <c r="A3" s="57">
        <v>2</v>
      </c>
      <c r="B3" s="57" t="s">
        <v>16</v>
      </c>
      <c r="C3" s="57" t="s">
        <v>204</v>
      </c>
      <c r="D3" s="57" t="s">
        <v>20</v>
      </c>
    </row>
    <row r="4" spans="1:6" ht="15.75" thickBot="1" x14ac:dyDescent="0.3">
      <c r="A4" s="13"/>
      <c r="B4" s="55"/>
      <c r="C4" s="56"/>
      <c r="D4"/>
    </row>
    <row r="5" spans="1:6" x14ac:dyDescent="0.25">
      <c r="A5" s="61"/>
      <c r="B5" s="62"/>
      <c r="C5" s="62"/>
      <c r="D5" s="63"/>
      <c r="E5" s="64"/>
    </row>
    <row r="6" spans="1:6" x14ac:dyDescent="0.25">
      <c r="A6" s="65"/>
      <c r="B6" s="57"/>
      <c r="C6" s="57" t="s">
        <v>228</v>
      </c>
      <c r="D6" s="58" t="s">
        <v>259</v>
      </c>
      <c r="E6" s="66" t="s">
        <v>226</v>
      </c>
    </row>
    <row r="7" spans="1:6" x14ac:dyDescent="0.25">
      <c r="A7" s="65"/>
      <c r="B7" s="57" t="s">
        <v>222</v>
      </c>
      <c r="C7" s="59">
        <v>141000</v>
      </c>
      <c r="D7" s="81">
        <v>1522800</v>
      </c>
      <c r="E7" s="82">
        <v>77550000</v>
      </c>
      <c r="F7" t="s">
        <v>250</v>
      </c>
    </row>
    <row r="8" spans="1:6" x14ac:dyDescent="0.25">
      <c r="A8" s="65"/>
      <c r="B8" s="57" t="s">
        <v>223</v>
      </c>
      <c r="C8" s="59">
        <v>1410000</v>
      </c>
      <c r="D8" s="81">
        <v>5076000</v>
      </c>
      <c r="E8" s="82">
        <v>846000000</v>
      </c>
      <c r="F8" t="s">
        <v>251</v>
      </c>
    </row>
    <row r="9" spans="1:6" ht="15.75" thickBot="1" x14ac:dyDescent="0.3">
      <c r="A9" s="67"/>
      <c r="B9" s="68" t="s">
        <v>224</v>
      </c>
      <c r="C9" s="70">
        <v>141000000</v>
      </c>
      <c r="D9" s="83">
        <v>507600000</v>
      </c>
      <c r="E9" s="84">
        <v>24816000000</v>
      </c>
      <c r="F9" t="s">
        <v>252</v>
      </c>
    </row>
    <row r="10" spans="1:6" ht="15.75" thickBot="1" x14ac:dyDescent="0.3">
      <c r="A10" s="13"/>
      <c r="B10" s="13"/>
      <c r="C10" s="51">
        <v>142551000</v>
      </c>
      <c r="D10" s="14">
        <v>142551000</v>
      </c>
      <c r="E10" s="14">
        <v>142551000</v>
      </c>
    </row>
    <row r="11" spans="1:6" x14ac:dyDescent="0.25">
      <c r="A11" s="61"/>
      <c r="B11" s="62"/>
      <c r="C11" s="62"/>
      <c r="D11" s="63"/>
      <c r="E11" s="64"/>
    </row>
    <row r="12" spans="1:6" x14ac:dyDescent="0.25">
      <c r="A12" s="65"/>
      <c r="B12" s="57" t="s">
        <v>229</v>
      </c>
      <c r="C12" s="57"/>
      <c r="D12" s="58"/>
      <c r="E12" s="66"/>
    </row>
    <row r="13" spans="1:6" x14ac:dyDescent="0.25">
      <c r="A13" s="65"/>
      <c r="B13" s="57"/>
      <c r="C13" s="57" t="s">
        <v>260</v>
      </c>
      <c r="D13" s="58" t="s">
        <v>261</v>
      </c>
      <c r="E13" s="66" t="s">
        <v>244</v>
      </c>
      <c r="F13" s="66" t="s">
        <v>249</v>
      </c>
    </row>
    <row r="14" spans="1:6" ht="45" x14ac:dyDescent="0.25">
      <c r="A14" s="65" t="s">
        <v>256</v>
      </c>
      <c r="B14" s="57" t="s">
        <v>222</v>
      </c>
      <c r="C14" s="59">
        <v>352500000000</v>
      </c>
      <c r="D14" s="58">
        <v>728406000000</v>
      </c>
      <c r="E14" s="82">
        <v>56611500000</v>
      </c>
      <c r="F14" s="87">
        <v>27.733499377334994</v>
      </c>
    </row>
    <row r="15" spans="1:6" ht="30" x14ac:dyDescent="0.25">
      <c r="A15" s="65" t="s">
        <v>257</v>
      </c>
      <c r="B15" s="57" t="s">
        <v>223</v>
      </c>
      <c r="C15" s="59">
        <v>141000000000</v>
      </c>
      <c r="D15" s="58">
        <v>3147120000000</v>
      </c>
      <c r="E15" s="82">
        <v>617580000000</v>
      </c>
      <c r="F15" s="87">
        <v>12.191780821917808</v>
      </c>
    </row>
    <row r="16" spans="1:6" ht="30" x14ac:dyDescent="0.25">
      <c r="A16" s="65" t="s">
        <v>258</v>
      </c>
      <c r="B16" s="57" t="s">
        <v>224</v>
      </c>
      <c r="C16" s="59">
        <v>3525000000000</v>
      </c>
      <c r="D16" s="58">
        <v>314712000000000</v>
      </c>
      <c r="E16" s="82">
        <v>2481600000</v>
      </c>
      <c r="F16" s="87">
        <v>34.74498132004981</v>
      </c>
    </row>
    <row r="17" spans="1:12" ht="15.75" thickBot="1" x14ac:dyDescent="0.3">
      <c r="A17" s="65"/>
      <c r="B17" s="57" t="s">
        <v>245</v>
      </c>
      <c r="C17" s="59">
        <v>4018500000000</v>
      </c>
      <c r="D17" s="60">
        <v>318587526000000</v>
      </c>
      <c r="E17" s="82">
        <v>676673100000</v>
      </c>
      <c r="F17" s="88">
        <f>SUM(F14:F16)</f>
        <v>74.670261519302613</v>
      </c>
    </row>
    <row r="18" spans="1:12" ht="15.75" thickBot="1" x14ac:dyDescent="0.3">
      <c r="A18" s="65"/>
      <c r="B18" s="57" t="s">
        <v>246</v>
      </c>
      <c r="C18" s="59">
        <v>53580000000</v>
      </c>
      <c r="D18" s="60">
        <v>4247833680000</v>
      </c>
      <c r="E18" s="85">
        <v>9022308000</v>
      </c>
      <c r="F18" s="89">
        <v>1</v>
      </c>
    </row>
    <row r="19" spans="1:12" x14ac:dyDescent="0.25">
      <c r="A19" s="65"/>
      <c r="B19" s="57" t="s">
        <v>247</v>
      </c>
      <c r="C19" s="57"/>
      <c r="D19" s="58"/>
      <c r="E19" s="82">
        <v>4310435988000</v>
      </c>
    </row>
    <row r="20" spans="1:12" ht="15.75" thickBot="1" x14ac:dyDescent="0.3">
      <c r="A20" s="67"/>
      <c r="B20" s="68"/>
      <c r="C20" s="68"/>
      <c r="D20" s="86"/>
      <c r="E20" s="69"/>
    </row>
    <row r="21" spans="1:12" ht="42" customHeight="1" thickBot="1" x14ac:dyDescent="0.3">
      <c r="A21" s="13"/>
      <c r="B21" s="13"/>
      <c r="C21" s="13"/>
      <c r="D21" s="13" t="s">
        <v>248</v>
      </c>
      <c r="E21" s="14">
        <v>30.570468000000002</v>
      </c>
      <c r="F21" s="14">
        <v>2292.7851000000001</v>
      </c>
      <c r="G21" s="15"/>
    </row>
    <row r="22" spans="1:12" x14ac:dyDescent="0.25">
      <c r="A22" s="73" t="s">
        <v>262</v>
      </c>
      <c r="B22" s="74"/>
      <c r="C22" s="74"/>
      <c r="D22" s="74"/>
      <c r="E22" s="75"/>
      <c r="F22" s="14"/>
      <c r="G22" s="15"/>
      <c r="H22" s="14"/>
    </row>
    <row r="23" spans="1:12" x14ac:dyDescent="0.25">
      <c r="A23" s="76"/>
      <c r="B23" s="72"/>
      <c r="C23" s="72"/>
      <c r="D23" s="72"/>
      <c r="E23" s="77"/>
      <c r="F23" s="14"/>
      <c r="G23" s="15"/>
      <c r="H23" s="8"/>
    </row>
    <row r="24" spans="1:12" x14ac:dyDescent="0.25">
      <c r="A24" s="76"/>
      <c r="B24" s="72"/>
      <c r="C24" s="72"/>
      <c r="D24" s="72"/>
      <c r="E24" s="77"/>
      <c r="F24" s="14"/>
      <c r="G24" s="8"/>
    </row>
    <row r="25" spans="1:12" ht="15.75" thickBot="1" x14ac:dyDescent="0.3">
      <c r="A25" s="78"/>
      <c r="B25" s="79"/>
      <c r="C25" s="79"/>
      <c r="D25" s="79"/>
      <c r="E25" s="80"/>
    </row>
    <row r="26" spans="1:12" x14ac:dyDescent="0.25">
      <c r="A26" s="13"/>
      <c r="B26" s="13"/>
      <c r="C26" s="13"/>
      <c r="D26" s="13"/>
      <c r="H26" s="13"/>
    </row>
    <row r="27" spans="1:12" x14ac:dyDescent="0.25">
      <c r="A27" s="12"/>
      <c r="B27" s="12"/>
      <c r="C27" s="12"/>
      <c r="D27" s="12"/>
      <c r="E27" s="13"/>
      <c r="F27" s="13"/>
      <c r="G27" s="13"/>
      <c r="H27" s="13"/>
      <c r="I27" s="13"/>
      <c r="J27" s="13"/>
      <c r="K27" s="13"/>
      <c r="L27" s="13"/>
    </row>
    <row r="28" spans="1:12" ht="75" x14ac:dyDescent="0.25">
      <c r="A28" s="6">
        <v>3</v>
      </c>
      <c r="B28" s="6" t="s">
        <v>18</v>
      </c>
      <c r="C28" s="6" t="s">
        <v>205</v>
      </c>
      <c r="D28" s="6" t="s">
        <v>26</v>
      </c>
      <c r="E28" s="13"/>
      <c r="F28" s="13"/>
      <c r="G28" s="13"/>
      <c r="H28" s="13"/>
      <c r="I28" s="13"/>
      <c r="J28" s="13"/>
      <c r="K28" s="13"/>
      <c r="L28" s="13"/>
    </row>
    <row r="29" spans="1:12" x14ac:dyDescent="0.25">
      <c r="A29" s="6"/>
      <c r="B29" s="6"/>
      <c r="C29" s="6"/>
      <c r="D29" s="6"/>
      <c r="E29" s="13"/>
      <c r="F29" s="13"/>
      <c r="G29" s="13"/>
      <c r="H29" s="13"/>
      <c r="I29" s="13"/>
      <c r="J29" s="13"/>
      <c r="K29" s="13"/>
      <c r="L29" s="13"/>
    </row>
    <row r="30" spans="1:12" x14ac:dyDescent="0.25">
      <c r="A30" s="6">
        <v>4</v>
      </c>
      <c r="B30" s="6" t="s">
        <v>32</v>
      </c>
      <c r="C30" s="6" t="s">
        <v>209</v>
      </c>
      <c r="D30" s="6" t="s">
        <v>25</v>
      </c>
      <c r="E30" s="13"/>
      <c r="F30" s="13"/>
      <c r="G30" s="13"/>
      <c r="H30" s="13"/>
      <c r="I30" s="13"/>
      <c r="J30" s="13"/>
      <c r="K30" s="13"/>
      <c r="L30" s="13"/>
    </row>
    <row r="31" spans="1:12" x14ac:dyDescent="0.25">
      <c r="A31" s="6"/>
      <c r="B31" s="6"/>
      <c r="C31" s="6"/>
      <c r="D31" s="6"/>
      <c r="E31" s="13"/>
      <c r="F31" s="13"/>
      <c r="G31" s="13"/>
      <c r="H31" s="13"/>
      <c r="I31" s="13"/>
      <c r="J31" s="13"/>
      <c r="K31" s="13"/>
      <c r="L31" s="13"/>
    </row>
    <row r="32" spans="1:12" x14ac:dyDescent="0.25">
      <c r="A32" s="6">
        <v>5</v>
      </c>
      <c r="B32" s="6" t="s">
        <v>8</v>
      </c>
      <c r="C32" s="6" t="s">
        <v>205</v>
      </c>
      <c r="D32" s="6" t="s">
        <v>20</v>
      </c>
      <c r="E32" s="13"/>
      <c r="F32" s="13"/>
      <c r="G32" s="13"/>
      <c r="H32" s="13"/>
      <c r="I32" s="13"/>
      <c r="J32" s="13"/>
      <c r="K32" s="13"/>
      <c r="L32" s="13"/>
    </row>
    <row r="33" spans="1:12" x14ac:dyDescent="0.25">
      <c r="A33" s="6"/>
      <c r="B33" s="6"/>
      <c r="C33" s="6"/>
      <c r="D33" s="6"/>
      <c r="E33" s="13"/>
      <c r="F33" s="13"/>
      <c r="G33" s="13"/>
      <c r="H33" s="13"/>
      <c r="I33" s="13"/>
      <c r="J33" s="13"/>
      <c r="K33" s="13"/>
      <c r="L33" s="13"/>
    </row>
    <row r="34" spans="1:12" ht="45" x14ac:dyDescent="0.25">
      <c r="A34" s="6">
        <v>6</v>
      </c>
      <c r="B34" s="6" t="s">
        <v>206</v>
      </c>
      <c r="C34" s="6" t="s">
        <v>204</v>
      </c>
      <c r="D34" s="6" t="s">
        <v>21</v>
      </c>
      <c r="E34" s="13"/>
      <c r="F34" s="13"/>
      <c r="G34" s="13"/>
      <c r="H34" s="13"/>
      <c r="I34" s="13"/>
      <c r="J34" s="13"/>
      <c r="K34" s="13"/>
      <c r="L34" s="13"/>
    </row>
    <row r="35" spans="1:12" x14ac:dyDescent="0.25">
      <c r="A35" s="6"/>
      <c r="B35" s="6"/>
      <c r="C35" s="6"/>
      <c r="D35" s="6"/>
      <c r="E35" s="13"/>
      <c r="F35" s="13"/>
      <c r="G35" s="13"/>
      <c r="H35" s="13"/>
      <c r="I35" s="13"/>
      <c r="J35" s="13"/>
      <c r="K35" s="13"/>
      <c r="L35" s="13"/>
    </row>
    <row r="36" spans="1:12" ht="60" x14ac:dyDescent="0.25">
      <c r="A36" s="6">
        <v>7</v>
      </c>
      <c r="B36" s="6" t="s">
        <v>17</v>
      </c>
      <c r="C36" s="6" t="s">
        <v>205</v>
      </c>
      <c r="D36" s="6" t="s">
        <v>21</v>
      </c>
      <c r="E36" s="13"/>
      <c r="F36" s="13"/>
      <c r="G36" s="13"/>
      <c r="H36" s="13"/>
      <c r="I36" s="13"/>
      <c r="J36" s="13"/>
      <c r="K36" s="13"/>
      <c r="L36" s="13"/>
    </row>
    <row r="37" spans="1:12" x14ac:dyDescent="0.25">
      <c r="A37" s="6"/>
      <c r="B37" s="6"/>
      <c r="C37" s="6"/>
      <c r="D37" s="6"/>
      <c r="E37" s="13"/>
      <c r="F37" s="13"/>
      <c r="G37" s="13"/>
      <c r="H37" s="13"/>
      <c r="I37" s="13"/>
      <c r="J37" s="13"/>
      <c r="K37" s="13"/>
      <c r="L37" s="13"/>
    </row>
    <row r="38" spans="1:12" ht="30" x14ac:dyDescent="0.25">
      <c r="A38" s="6">
        <v>8</v>
      </c>
      <c r="B38" s="6" t="s">
        <v>207</v>
      </c>
      <c r="C38" s="6" t="s">
        <v>204</v>
      </c>
      <c r="D38" s="6" t="s">
        <v>22</v>
      </c>
      <c r="E38" s="13"/>
      <c r="F38" s="13"/>
      <c r="G38" s="13"/>
      <c r="I38" s="13"/>
      <c r="J38" s="13"/>
      <c r="K38" s="13"/>
      <c r="L38" s="13"/>
    </row>
    <row r="39" spans="1:12" x14ac:dyDescent="0.25">
      <c r="A39" s="6"/>
      <c r="B39" s="6"/>
      <c r="C39" s="6"/>
      <c r="D39" s="6"/>
    </row>
    <row r="40" spans="1:12" ht="30" x14ac:dyDescent="0.25">
      <c r="A40" s="6">
        <v>9</v>
      </c>
      <c r="B40" s="6" t="s">
        <v>208</v>
      </c>
      <c r="C40" s="6" t="s">
        <v>204</v>
      </c>
      <c r="D40" s="6" t="s">
        <v>23</v>
      </c>
    </row>
    <row r="41" spans="1:12" x14ac:dyDescent="0.25">
      <c r="A41" s="6"/>
      <c r="B41" s="6"/>
      <c r="C41" s="6"/>
      <c r="D41" s="6"/>
    </row>
    <row r="42" spans="1:12" ht="30" x14ac:dyDescent="0.25">
      <c r="A42" s="6">
        <v>10</v>
      </c>
      <c r="B42" s="6" t="s">
        <v>15</v>
      </c>
      <c r="C42" s="6" t="s">
        <v>205</v>
      </c>
      <c r="D42" s="6" t="s">
        <v>24</v>
      </c>
    </row>
    <row r="43" spans="1:12" x14ac:dyDescent="0.25">
      <c r="A43" s="6"/>
      <c r="B43" s="6"/>
      <c r="C43" s="6"/>
      <c r="D43" s="6"/>
    </row>
    <row r="44" spans="1:12" x14ac:dyDescent="0.25">
      <c r="A44" s="6">
        <v>11</v>
      </c>
      <c r="B44" s="6" t="s">
        <v>27</v>
      </c>
      <c r="C44" s="6" t="s">
        <v>210</v>
      </c>
      <c r="D44" s="6" t="s">
        <v>28</v>
      </c>
    </row>
  </sheetData>
  <mergeCells count="1">
    <mergeCell ref="A22:E2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7326D-A13C-41FD-B7F9-22FAB9F5671F}">
  <dimension ref="A2:N19"/>
  <sheetViews>
    <sheetView workbookViewId="0">
      <selection activeCell="B9" sqref="B9"/>
    </sheetView>
  </sheetViews>
  <sheetFormatPr defaultRowHeight="15" x14ac:dyDescent="0.25"/>
  <cols>
    <col min="1" max="1" width="33.42578125" bestFit="1" customWidth="1"/>
    <col min="2" max="2" width="27.42578125" bestFit="1" customWidth="1"/>
    <col min="3" max="3" width="18" bestFit="1" customWidth="1"/>
    <col min="4" max="4" width="43" bestFit="1" customWidth="1"/>
    <col min="5" max="5" width="20" bestFit="1" customWidth="1"/>
    <col min="6" max="6" width="24.42578125" bestFit="1" customWidth="1"/>
    <col min="7" max="8" width="24.42578125" customWidth="1"/>
    <col min="10" max="10" width="35.7109375" bestFit="1" customWidth="1"/>
    <col min="12" max="12" width="29.28515625" bestFit="1" customWidth="1"/>
    <col min="14" max="14" width="29.28515625" bestFit="1" customWidth="1"/>
  </cols>
  <sheetData>
    <row r="2" spans="1:14" x14ac:dyDescent="0.25">
      <c r="B2" s="17" t="s">
        <v>225</v>
      </c>
      <c r="C2" s="18">
        <f>141000000000</f>
        <v>141000000000</v>
      </c>
      <c r="J2" s="20" t="s">
        <v>230</v>
      </c>
      <c r="K2" s="20"/>
      <c r="L2" s="20" t="s">
        <v>231</v>
      </c>
      <c r="M2" s="20"/>
      <c r="N2" s="20" t="s">
        <v>232</v>
      </c>
    </row>
    <row r="3" spans="1:14" ht="15.75" thickBot="1" x14ac:dyDescent="0.3">
      <c r="J3" s="20" t="s">
        <v>233</v>
      </c>
      <c r="K3" s="20"/>
      <c r="L3" s="20" t="s">
        <v>238</v>
      </c>
      <c r="M3" s="20"/>
      <c r="N3" s="20" t="s">
        <v>238</v>
      </c>
    </row>
    <row r="4" spans="1:14" x14ac:dyDescent="0.25">
      <c r="B4" s="26"/>
      <c r="C4" s="27" t="s">
        <v>228</v>
      </c>
      <c r="D4" s="27" t="s">
        <v>259</v>
      </c>
      <c r="E4" s="27" t="s">
        <v>226</v>
      </c>
      <c r="F4" s="28"/>
      <c r="J4" s="20" t="s">
        <v>234</v>
      </c>
      <c r="K4" s="20"/>
      <c r="L4" s="20" t="s">
        <v>239</v>
      </c>
      <c r="M4" s="20"/>
      <c r="N4" s="20" t="s">
        <v>239</v>
      </c>
    </row>
    <row r="5" spans="1:14" x14ac:dyDescent="0.25">
      <c r="B5" s="29" t="s">
        <v>222</v>
      </c>
      <c r="C5" s="30">
        <f>C2/1000000</f>
        <v>141000</v>
      </c>
      <c r="D5" s="31">
        <f>C5*3*3*1.2</f>
        <v>1522800</v>
      </c>
      <c r="E5" s="30">
        <f>C5*550</f>
        <v>77550000</v>
      </c>
      <c r="F5" s="32" t="s">
        <v>250</v>
      </c>
      <c r="J5" s="19"/>
      <c r="K5" s="19"/>
      <c r="L5" s="19"/>
      <c r="M5" s="19"/>
      <c r="N5" s="19"/>
    </row>
    <row r="6" spans="1:14" x14ac:dyDescent="0.25">
      <c r="B6" s="29" t="s">
        <v>223</v>
      </c>
      <c r="C6" s="30">
        <f>C2/100000</f>
        <v>1410000</v>
      </c>
      <c r="D6" s="31">
        <f>C6*3*1.2</f>
        <v>5076000</v>
      </c>
      <c r="E6" s="30">
        <f>C6*600</f>
        <v>846000000</v>
      </c>
      <c r="F6" s="32" t="s">
        <v>251</v>
      </c>
      <c r="J6" s="20" t="s">
        <v>235</v>
      </c>
      <c r="K6" s="20"/>
      <c r="L6" s="20" t="s">
        <v>235</v>
      </c>
      <c r="M6" s="20"/>
      <c r="N6" s="20" t="s">
        <v>235</v>
      </c>
    </row>
    <row r="7" spans="1:14" x14ac:dyDescent="0.25">
      <c r="B7" s="29" t="s">
        <v>224</v>
      </c>
      <c r="C7" s="30">
        <f>C2/1000</f>
        <v>141000000</v>
      </c>
      <c r="D7" s="31">
        <f>C7*3*1.2</f>
        <v>507600000</v>
      </c>
      <c r="E7" s="30">
        <f>C7*176</f>
        <v>24816000000</v>
      </c>
      <c r="F7" s="32" t="s">
        <v>252</v>
      </c>
      <c r="J7" s="20" t="s">
        <v>233</v>
      </c>
      <c r="K7" s="20"/>
      <c r="L7" s="20" t="s">
        <v>238</v>
      </c>
      <c r="M7" s="20"/>
      <c r="N7" s="20" t="s">
        <v>238</v>
      </c>
    </row>
    <row r="8" spans="1:14" ht="15.75" thickBot="1" x14ac:dyDescent="0.3">
      <c r="B8" s="33"/>
      <c r="C8" s="34">
        <f>SUM(C5:C7)</f>
        <v>142551000</v>
      </c>
      <c r="D8" s="35">
        <v>142551000</v>
      </c>
      <c r="E8" s="35">
        <v>142551000</v>
      </c>
      <c r="F8" s="36"/>
      <c r="J8" s="20" t="s">
        <v>236</v>
      </c>
      <c r="K8" s="20"/>
      <c r="L8" s="20" t="s">
        <v>240</v>
      </c>
      <c r="M8" s="20"/>
      <c r="N8" s="20" t="s">
        <v>240</v>
      </c>
    </row>
    <row r="9" spans="1:14" ht="15.75" thickBot="1" x14ac:dyDescent="0.3">
      <c r="J9" s="19"/>
      <c r="K9" s="19"/>
      <c r="L9" s="19"/>
      <c r="M9" s="19"/>
      <c r="N9" s="19"/>
    </row>
    <row r="10" spans="1:14" ht="15.75" thickBot="1" x14ac:dyDescent="0.3">
      <c r="B10" s="37" t="s">
        <v>229</v>
      </c>
      <c r="C10" s="38"/>
      <c r="D10" s="38"/>
      <c r="E10" s="38"/>
      <c r="F10" s="39"/>
      <c r="J10" s="20" t="s">
        <v>237</v>
      </c>
      <c r="K10" s="20"/>
      <c r="L10" s="20" t="s">
        <v>241</v>
      </c>
      <c r="M10" s="20"/>
      <c r="N10" s="20" t="s">
        <v>241</v>
      </c>
    </row>
    <row r="11" spans="1:14" x14ac:dyDescent="0.25">
      <c r="B11" s="40"/>
      <c r="C11" s="41" t="s">
        <v>260</v>
      </c>
      <c r="D11" s="41" t="s">
        <v>261</v>
      </c>
      <c r="E11" s="41" t="s">
        <v>244</v>
      </c>
      <c r="F11" s="42" t="s">
        <v>249</v>
      </c>
      <c r="G11" s="25"/>
      <c r="H11" s="25"/>
      <c r="J11" s="21">
        <f>(30000+45000+66000)*2+(33000+49500+66000)</f>
        <v>430500</v>
      </c>
      <c r="K11" s="20"/>
      <c r="L11" s="21">
        <f>(60000)*2+(66000)</f>
        <v>186000</v>
      </c>
      <c r="M11" s="20"/>
      <c r="N11" s="21">
        <f>(60000)*2+(66000)</f>
        <v>186000</v>
      </c>
    </row>
    <row r="12" spans="1:14" x14ac:dyDescent="0.25">
      <c r="A12" t="s">
        <v>256</v>
      </c>
      <c r="B12" s="43" t="s">
        <v>222</v>
      </c>
      <c r="C12" s="22">
        <f>C5*2500000</f>
        <v>352500000000</v>
      </c>
      <c r="D12" s="9">
        <f>C5*J15</f>
        <v>728406000000</v>
      </c>
      <c r="E12" s="22">
        <f>E5*2*365</f>
        <v>56611500000</v>
      </c>
      <c r="F12" s="44">
        <f>(D12+E12)/(C5*550*365)</f>
        <v>27.733499377334994</v>
      </c>
      <c r="G12" s="24"/>
      <c r="H12" s="24"/>
    </row>
    <row r="13" spans="1:14" x14ac:dyDescent="0.25">
      <c r="A13" t="s">
        <v>257</v>
      </c>
      <c r="B13" s="43" t="s">
        <v>223</v>
      </c>
      <c r="C13" s="22">
        <f>C6*100000</f>
        <v>141000000000</v>
      </c>
      <c r="D13" s="9">
        <f>C6*L15</f>
        <v>3147120000000</v>
      </c>
      <c r="E13" s="22">
        <f>E6*2*365</f>
        <v>617580000000</v>
      </c>
      <c r="F13" s="44">
        <f>(D13+E13)/(C6*600*365)</f>
        <v>12.191780821917808</v>
      </c>
      <c r="G13" s="24"/>
      <c r="H13" s="24"/>
    </row>
    <row r="14" spans="1:14" x14ac:dyDescent="0.25">
      <c r="A14" t="s">
        <v>258</v>
      </c>
      <c r="B14" s="43" t="s">
        <v>224</v>
      </c>
      <c r="C14" s="22">
        <f>C7*25000</f>
        <v>3525000000000</v>
      </c>
      <c r="D14" s="9">
        <f>C7*N15</f>
        <v>314712000000000</v>
      </c>
      <c r="E14" s="22">
        <f>E7*0.1</f>
        <v>2481600000</v>
      </c>
      <c r="F14" s="44">
        <f>(D14+E14)/(C7*176*365)</f>
        <v>34.74498132004981</v>
      </c>
      <c r="G14" s="24"/>
      <c r="H14" s="24"/>
      <c r="J14" s="20" t="s">
        <v>242</v>
      </c>
      <c r="K14" s="20"/>
      <c r="L14" s="20" t="s">
        <v>243</v>
      </c>
      <c r="M14" s="20"/>
      <c r="N14" s="20" t="s">
        <v>243</v>
      </c>
    </row>
    <row r="15" spans="1:14" x14ac:dyDescent="0.25">
      <c r="B15" s="43" t="s">
        <v>245</v>
      </c>
      <c r="C15" s="22">
        <f>SUM(C12:C14)</f>
        <v>4018500000000</v>
      </c>
      <c r="D15" s="22">
        <f>SUM(D12:D14)</f>
        <v>318587526000000</v>
      </c>
      <c r="E15" s="22">
        <f>SUM(E12:E14)</f>
        <v>676673100000</v>
      </c>
      <c r="F15" s="32"/>
      <c r="J15" s="21">
        <f>J11*12</f>
        <v>5166000</v>
      </c>
      <c r="K15" s="20"/>
      <c r="L15" s="21">
        <f>L11*12</f>
        <v>2232000</v>
      </c>
      <c r="M15" s="20"/>
      <c r="N15" s="21">
        <f>N11*12</f>
        <v>2232000</v>
      </c>
    </row>
    <row r="16" spans="1:14" x14ac:dyDescent="0.25">
      <c r="B16" s="43" t="s">
        <v>246</v>
      </c>
      <c r="C16" s="23">
        <f>C15/75</f>
        <v>53580000000</v>
      </c>
      <c r="D16" s="23">
        <f>D15/75</f>
        <v>4247833680000</v>
      </c>
      <c r="E16" s="23">
        <f>E15/75</f>
        <v>9022308000</v>
      </c>
      <c r="F16" s="32"/>
    </row>
    <row r="17" spans="2:8" ht="15.75" thickBot="1" x14ac:dyDescent="0.3">
      <c r="B17" s="45" t="s">
        <v>247</v>
      </c>
      <c r="C17" s="46"/>
      <c r="D17" s="46"/>
      <c r="E17" s="47">
        <f>SUM(C16:E16)</f>
        <v>4310435988000</v>
      </c>
      <c r="F17" s="36"/>
    </row>
    <row r="18" spans="2:8" ht="15.75" thickBot="1" x14ac:dyDescent="0.3">
      <c r="E18" s="14"/>
    </row>
    <row r="19" spans="2:8" ht="15.75" thickBot="1" x14ac:dyDescent="0.3">
      <c r="D19" s="48" t="s">
        <v>248</v>
      </c>
      <c r="E19" s="49">
        <f>E17/141000000000</f>
        <v>30.570468000000002</v>
      </c>
      <c r="F19" s="50">
        <f>E19*75</f>
        <v>2292.7851000000001</v>
      </c>
      <c r="G19" s="24"/>
      <c r="H19" s="24"/>
    </row>
  </sheetData>
  <mergeCells count="2">
    <mergeCell ref="B17:D17"/>
    <mergeCell ref="B10:F10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F8E13-E98C-4F2E-A75E-E0DD15846691}">
  <dimension ref="N4:T10"/>
  <sheetViews>
    <sheetView topLeftCell="C1" workbookViewId="0">
      <selection activeCell="N11" sqref="N11"/>
    </sheetView>
  </sheetViews>
  <sheetFormatPr defaultRowHeight="15" x14ac:dyDescent="0.25"/>
  <cols>
    <col min="13" max="13" width="6.140625" customWidth="1"/>
    <col min="14" max="14" width="15.42578125" customWidth="1"/>
  </cols>
  <sheetData>
    <row r="4" spans="14:20" x14ac:dyDescent="0.25">
      <c r="O4">
        <f>601-530</f>
        <v>71</v>
      </c>
      <c r="P4">
        <f>530-489</f>
        <v>41</v>
      </c>
      <c r="Q4">
        <f>489-449</f>
        <v>40</v>
      </c>
      <c r="R4">
        <f>449-412</f>
        <v>37</v>
      </c>
      <c r="S4">
        <f>412-379</f>
        <v>33</v>
      </c>
      <c r="T4">
        <f>379-347</f>
        <v>32</v>
      </c>
    </row>
    <row r="5" spans="14:20" x14ac:dyDescent="0.25">
      <c r="O5">
        <f>89-77</f>
        <v>12</v>
      </c>
      <c r="P5">
        <f>97-89</f>
        <v>8</v>
      </c>
      <c r="Q5">
        <v>8</v>
      </c>
      <c r="R5">
        <v>8</v>
      </c>
      <c r="S5">
        <v>8</v>
      </c>
      <c r="T5">
        <v>8</v>
      </c>
    </row>
    <row r="6" spans="14:20" ht="120" x14ac:dyDescent="0.25">
      <c r="N6" s="1" t="s">
        <v>227</v>
      </c>
      <c r="O6" s="16">
        <f>O4/O5</f>
        <v>5.916666666666667</v>
      </c>
      <c r="P6" s="16">
        <f>P4/P5</f>
        <v>5.125</v>
      </c>
      <c r="Q6" s="16">
        <f>Q4/Q5</f>
        <v>5</v>
      </c>
      <c r="R6" s="16">
        <f>R4/R5</f>
        <v>4.625</v>
      </c>
      <c r="S6" s="16">
        <f>S4/S5</f>
        <v>4.125</v>
      </c>
      <c r="T6" s="16">
        <f>T4/T5</f>
        <v>4</v>
      </c>
    </row>
    <row r="9" spans="14:20" x14ac:dyDescent="0.25">
      <c r="O9">
        <f>89-25</f>
        <v>64</v>
      </c>
    </row>
    <row r="10" spans="14:20" x14ac:dyDescent="0.25">
      <c r="N10">
        <f>530+320</f>
        <v>850</v>
      </c>
      <c r="O10">
        <f>O9*5</f>
        <v>320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8DB4D-2D88-4E55-9922-A8FBAAD44CC5}">
  <dimension ref="A1:K457"/>
  <sheetViews>
    <sheetView topLeftCell="A442" workbookViewId="0">
      <selection activeCell="K452" sqref="K452"/>
    </sheetView>
  </sheetViews>
  <sheetFormatPr defaultRowHeight="15" x14ac:dyDescent="0.25"/>
  <cols>
    <col min="3" max="3" width="8.5703125" bestFit="1" customWidth="1"/>
    <col min="10" max="10" width="37.28515625" bestFit="1" customWidth="1"/>
    <col min="11" max="11" width="21" bestFit="1" customWidth="1"/>
  </cols>
  <sheetData>
    <row r="1" spans="1:6" ht="21" x14ac:dyDescent="0.25">
      <c r="A1" s="3" t="s">
        <v>35</v>
      </c>
      <c r="B1" s="3" t="s">
        <v>36</v>
      </c>
      <c r="C1" s="3" t="s">
        <v>37</v>
      </c>
      <c r="D1" s="3" t="s">
        <v>35</v>
      </c>
      <c r="E1" s="3" t="s">
        <v>36</v>
      </c>
      <c r="F1" s="3" t="s">
        <v>37</v>
      </c>
    </row>
    <row r="2" spans="1:6" ht="42" x14ac:dyDescent="0.25">
      <c r="A2" s="4">
        <v>1</v>
      </c>
      <c r="B2" s="3" t="s">
        <v>38</v>
      </c>
      <c r="C2" s="4"/>
      <c r="D2" s="4">
        <v>2</v>
      </c>
      <c r="E2" s="3" t="s">
        <v>39</v>
      </c>
      <c r="F2" s="4"/>
    </row>
    <row r="3" spans="1:6" x14ac:dyDescent="0.25">
      <c r="A3" s="4"/>
      <c r="B3" s="4" t="s">
        <v>40</v>
      </c>
      <c r="C3" s="4">
        <v>1950</v>
      </c>
      <c r="D3" s="4"/>
      <c r="E3" s="4" t="s">
        <v>40</v>
      </c>
      <c r="F3" s="4">
        <v>624</v>
      </c>
    </row>
    <row r="4" spans="1:6" ht="21" x14ac:dyDescent="0.25">
      <c r="A4" s="4"/>
      <c r="B4" s="4" t="s">
        <v>41</v>
      </c>
      <c r="C4" s="4">
        <v>7956</v>
      </c>
      <c r="D4" s="4"/>
      <c r="E4" s="4" t="s">
        <v>41</v>
      </c>
      <c r="F4" s="4">
        <v>4494</v>
      </c>
    </row>
    <row r="5" spans="1:6" x14ac:dyDescent="0.25">
      <c r="A5" s="4"/>
      <c r="B5" s="4" t="s">
        <v>42</v>
      </c>
      <c r="C5" s="4">
        <v>15319</v>
      </c>
      <c r="D5" s="4"/>
      <c r="E5" s="4" t="s">
        <v>42</v>
      </c>
      <c r="F5" s="4">
        <v>5493</v>
      </c>
    </row>
    <row r="6" spans="1:6" x14ac:dyDescent="0.25">
      <c r="A6" s="4"/>
      <c r="B6" s="4" t="s">
        <v>43</v>
      </c>
      <c r="C6" s="4">
        <v>21019</v>
      </c>
      <c r="D6" s="4"/>
      <c r="E6" s="4" t="s">
        <v>43</v>
      </c>
      <c r="F6" s="4">
        <v>6742</v>
      </c>
    </row>
    <row r="7" spans="1:6" x14ac:dyDescent="0.25">
      <c r="A7" s="4"/>
      <c r="B7" s="4" t="s">
        <v>44</v>
      </c>
      <c r="C7" s="4">
        <v>54390</v>
      </c>
      <c r="D7" s="4"/>
      <c r="E7" s="4" t="s">
        <v>44</v>
      </c>
      <c r="F7" s="4">
        <v>16730</v>
      </c>
    </row>
    <row r="8" spans="1:6" ht="21" x14ac:dyDescent="0.25">
      <c r="A8" s="4">
        <v>3</v>
      </c>
      <c r="B8" s="3" t="s">
        <v>45</v>
      </c>
      <c r="C8" s="4"/>
      <c r="D8" s="4">
        <v>4</v>
      </c>
      <c r="E8" s="3" t="s">
        <v>46</v>
      </c>
      <c r="F8" s="4"/>
    </row>
    <row r="9" spans="1:6" x14ac:dyDescent="0.25">
      <c r="A9" s="4"/>
      <c r="B9" s="4" t="s">
        <v>40</v>
      </c>
      <c r="C9" s="4"/>
      <c r="D9" s="4"/>
      <c r="E9" s="4" t="s">
        <v>40</v>
      </c>
      <c r="F9" s="4">
        <v>1997</v>
      </c>
    </row>
    <row r="10" spans="1:6" ht="21" x14ac:dyDescent="0.25">
      <c r="A10" s="4"/>
      <c r="B10" s="4" t="s">
        <v>41</v>
      </c>
      <c r="C10" s="4">
        <v>10800</v>
      </c>
      <c r="D10" s="4"/>
      <c r="E10" s="4" t="s">
        <v>41</v>
      </c>
      <c r="F10" s="4">
        <v>2652</v>
      </c>
    </row>
    <row r="11" spans="1:6" x14ac:dyDescent="0.25">
      <c r="A11" s="4"/>
      <c r="B11" s="4" t="s">
        <v>42</v>
      </c>
      <c r="C11" s="4">
        <v>17400</v>
      </c>
      <c r="D11" s="4"/>
      <c r="E11" s="4" t="s">
        <v>42</v>
      </c>
      <c r="F11" s="4">
        <v>6003</v>
      </c>
    </row>
    <row r="12" spans="1:6" x14ac:dyDescent="0.25">
      <c r="A12" s="4"/>
      <c r="B12" s="4" t="s">
        <v>43</v>
      </c>
      <c r="C12" s="4">
        <v>24600</v>
      </c>
      <c r="D12" s="4"/>
      <c r="E12" s="4" t="s">
        <v>43</v>
      </c>
      <c r="F12" s="4">
        <v>6887</v>
      </c>
    </row>
    <row r="13" spans="1:6" x14ac:dyDescent="0.25">
      <c r="A13" s="4"/>
      <c r="B13" s="4" t="s">
        <v>44</v>
      </c>
      <c r="C13" s="4">
        <v>27600</v>
      </c>
      <c r="D13" s="4"/>
      <c r="E13" s="4" t="s">
        <v>44</v>
      </c>
      <c r="F13" s="4">
        <v>6887</v>
      </c>
    </row>
    <row r="14" spans="1:6" ht="21" x14ac:dyDescent="0.25">
      <c r="A14" s="4">
        <v>5</v>
      </c>
      <c r="B14" s="3" t="s">
        <v>47</v>
      </c>
      <c r="C14" s="4"/>
      <c r="D14" s="4">
        <v>6</v>
      </c>
      <c r="E14" s="3" t="s">
        <v>48</v>
      </c>
      <c r="F14" s="4"/>
    </row>
    <row r="15" spans="1:6" x14ac:dyDescent="0.25">
      <c r="A15" s="4"/>
      <c r="B15" s="4" t="s">
        <v>40</v>
      </c>
      <c r="C15" s="4">
        <v>831</v>
      </c>
      <c r="D15" s="4"/>
      <c r="E15" s="4" t="s">
        <v>40</v>
      </c>
      <c r="F15" s="4">
        <v>499</v>
      </c>
    </row>
    <row r="16" spans="1:6" ht="21" x14ac:dyDescent="0.25">
      <c r="A16" s="4"/>
      <c r="B16" s="4" t="s">
        <v>41</v>
      </c>
      <c r="C16" s="4">
        <v>5581</v>
      </c>
      <c r="D16" s="4"/>
      <c r="E16" s="4" t="s">
        <v>41</v>
      </c>
      <c r="F16" s="4">
        <v>1997</v>
      </c>
    </row>
    <row r="17" spans="1:6" x14ac:dyDescent="0.25">
      <c r="A17" s="4"/>
      <c r="B17" s="4" t="s">
        <v>42</v>
      </c>
      <c r="C17" s="4">
        <v>9856</v>
      </c>
      <c r="D17" s="4"/>
      <c r="E17" s="4" t="s">
        <v>42</v>
      </c>
      <c r="F17" s="4">
        <v>3000</v>
      </c>
    </row>
    <row r="18" spans="1:6" x14ac:dyDescent="0.25">
      <c r="A18" s="4"/>
      <c r="B18" s="4" t="s">
        <v>43</v>
      </c>
      <c r="C18" s="4">
        <v>28976</v>
      </c>
      <c r="D18" s="4"/>
      <c r="E18" s="4" t="s">
        <v>43</v>
      </c>
      <c r="F18" s="4">
        <v>3495</v>
      </c>
    </row>
    <row r="19" spans="1:6" x14ac:dyDescent="0.25">
      <c r="A19" s="4"/>
      <c r="B19" s="4" t="s">
        <v>44</v>
      </c>
      <c r="C19" s="4">
        <v>36814</v>
      </c>
      <c r="D19" s="4"/>
      <c r="E19" s="4" t="s">
        <v>44</v>
      </c>
      <c r="F19" s="4">
        <v>6000</v>
      </c>
    </row>
    <row r="20" spans="1:6" ht="21" x14ac:dyDescent="0.25">
      <c r="A20" s="4">
        <v>7</v>
      </c>
      <c r="B20" s="3" t="s">
        <v>49</v>
      </c>
      <c r="C20" s="4"/>
      <c r="D20" s="4">
        <v>8</v>
      </c>
      <c r="E20" s="3" t="s">
        <v>50</v>
      </c>
      <c r="F20" s="4"/>
    </row>
    <row r="21" spans="1:6" x14ac:dyDescent="0.25">
      <c r="A21" s="4"/>
      <c r="B21" s="4" t="s">
        <v>40</v>
      </c>
      <c r="C21" s="4">
        <v>7362</v>
      </c>
      <c r="D21" s="4"/>
      <c r="E21" s="4" t="s">
        <v>40</v>
      </c>
      <c r="F21" s="4">
        <v>1623</v>
      </c>
    </row>
    <row r="22" spans="1:6" ht="21" x14ac:dyDescent="0.25">
      <c r="A22" s="4"/>
      <c r="B22" s="4" t="s">
        <v>41</v>
      </c>
      <c r="C22" s="4">
        <v>7500</v>
      </c>
      <c r="D22" s="4"/>
      <c r="E22" s="4" t="s">
        <v>41</v>
      </c>
      <c r="F22" s="4">
        <v>5368</v>
      </c>
    </row>
    <row r="23" spans="1:6" x14ac:dyDescent="0.25">
      <c r="A23" s="4"/>
      <c r="B23" s="4" t="s">
        <v>42</v>
      </c>
      <c r="C23" s="4">
        <v>10000</v>
      </c>
      <c r="D23" s="4"/>
      <c r="E23" s="4" t="s">
        <v>42</v>
      </c>
      <c r="F23" s="4">
        <v>3495</v>
      </c>
    </row>
    <row r="24" spans="1:6" x14ac:dyDescent="0.25">
      <c r="A24" s="4"/>
      <c r="B24" s="4" t="s">
        <v>43</v>
      </c>
      <c r="C24" s="4">
        <v>11519</v>
      </c>
      <c r="D24" s="4"/>
      <c r="E24" s="4" t="s">
        <v>43</v>
      </c>
      <c r="F24" s="4">
        <v>6367</v>
      </c>
    </row>
    <row r="25" spans="1:6" x14ac:dyDescent="0.25">
      <c r="A25" s="4"/>
      <c r="B25" s="4" t="s">
        <v>44</v>
      </c>
      <c r="C25" s="4">
        <v>19001</v>
      </c>
      <c r="D25" s="4"/>
      <c r="E25" s="4" t="s">
        <v>44</v>
      </c>
      <c r="F25" s="4">
        <v>7616</v>
      </c>
    </row>
    <row r="26" spans="1:6" ht="21" x14ac:dyDescent="0.25">
      <c r="A26" s="4">
        <v>9</v>
      </c>
      <c r="B26" s="3" t="s">
        <v>51</v>
      </c>
      <c r="C26" s="4"/>
      <c r="D26" s="4">
        <v>10</v>
      </c>
      <c r="E26" s="3" t="s">
        <v>52</v>
      </c>
      <c r="F26" s="4"/>
    </row>
    <row r="27" spans="1:6" x14ac:dyDescent="0.25">
      <c r="A27" s="4"/>
      <c r="B27" s="4" t="s">
        <v>40</v>
      </c>
      <c r="C27" s="4">
        <v>2018</v>
      </c>
      <c r="D27" s="4"/>
      <c r="E27" s="4" t="s">
        <v>40</v>
      </c>
      <c r="F27" s="4">
        <v>1498</v>
      </c>
    </row>
    <row r="28" spans="1:6" ht="21" x14ac:dyDescent="0.25">
      <c r="A28" s="4"/>
      <c r="B28" s="4" t="s">
        <v>41</v>
      </c>
      <c r="C28" s="4">
        <v>4037</v>
      </c>
      <c r="D28" s="4"/>
      <c r="E28" s="4" t="s">
        <v>41</v>
      </c>
      <c r="F28" s="4">
        <v>1997</v>
      </c>
    </row>
    <row r="29" spans="1:6" x14ac:dyDescent="0.25">
      <c r="A29" s="4"/>
      <c r="B29" s="4" t="s">
        <v>42</v>
      </c>
      <c r="C29" s="4">
        <v>10094</v>
      </c>
      <c r="D29" s="4"/>
      <c r="E29" s="4" t="s">
        <v>42</v>
      </c>
      <c r="F29" s="4">
        <v>4120</v>
      </c>
    </row>
    <row r="30" spans="1:6" x14ac:dyDescent="0.25">
      <c r="A30" s="4"/>
      <c r="B30" s="4" t="s">
        <v>43</v>
      </c>
      <c r="C30" s="4">
        <v>18407</v>
      </c>
      <c r="D30" s="4"/>
      <c r="E30" s="4" t="s">
        <v>43</v>
      </c>
      <c r="F30" s="4">
        <v>16480</v>
      </c>
    </row>
    <row r="31" spans="1:6" x14ac:dyDescent="0.25">
      <c r="A31" s="4"/>
      <c r="B31" s="4" t="s">
        <v>44</v>
      </c>
      <c r="C31" s="4">
        <v>16507</v>
      </c>
      <c r="D31" s="4"/>
      <c r="E31" s="4" t="s">
        <v>44</v>
      </c>
      <c r="F31" s="4">
        <v>15232</v>
      </c>
    </row>
    <row r="32" spans="1:6" ht="21" x14ac:dyDescent="0.25">
      <c r="A32" s="4">
        <v>11</v>
      </c>
      <c r="B32" s="3" t="s">
        <v>53</v>
      </c>
      <c r="C32" s="4"/>
      <c r="D32" s="4">
        <v>12</v>
      </c>
      <c r="E32" s="3" t="s">
        <v>54</v>
      </c>
      <c r="F32" s="4"/>
    </row>
    <row r="33" spans="1:6" x14ac:dyDescent="0.25">
      <c r="A33" s="4"/>
      <c r="B33" s="4" t="s">
        <v>40</v>
      </c>
      <c r="C33" s="4">
        <v>2612</v>
      </c>
      <c r="D33" s="4"/>
      <c r="E33" s="4" t="s">
        <v>40</v>
      </c>
      <c r="F33" s="4">
        <v>998</v>
      </c>
    </row>
    <row r="34" spans="1:6" ht="21" x14ac:dyDescent="0.25">
      <c r="A34" s="4"/>
      <c r="B34" s="4" t="s">
        <v>41</v>
      </c>
      <c r="C34" s="4">
        <v>6000</v>
      </c>
      <c r="D34" s="4"/>
      <c r="E34" s="4" t="s">
        <v>41</v>
      </c>
      <c r="F34" s="4">
        <v>499</v>
      </c>
    </row>
    <row r="35" spans="1:6" x14ac:dyDescent="0.25">
      <c r="A35" s="4"/>
      <c r="B35" s="4" t="s">
        <v>42</v>
      </c>
      <c r="C35" s="4">
        <v>9975</v>
      </c>
      <c r="D35" s="4"/>
      <c r="E35" s="4" t="s">
        <v>42</v>
      </c>
      <c r="F35" s="4">
        <v>4369</v>
      </c>
    </row>
    <row r="36" spans="1:6" x14ac:dyDescent="0.25">
      <c r="A36" s="4"/>
      <c r="B36" s="4" t="s">
        <v>43</v>
      </c>
      <c r="C36" s="4">
        <v>15675</v>
      </c>
      <c r="D36" s="4"/>
      <c r="E36" s="4" t="s">
        <v>43</v>
      </c>
      <c r="F36" s="4">
        <v>7616</v>
      </c>
    </row>
    <row r="37" spans="1:6" x14ac:dyDescent="0.25">
      <c r="A37" s="4"/>
      <c r="B37" s="4" t="s">
        <v>44</v>
      </c>
      <c r="C37" s="4">
        <v>20901</v>
      </c>
      <c r="D37" s="4"/>
      <c r="E37" s="4" t="s">
        <v>44</v>
      </c>
      <c r="F37" s="4">
        <v>6242</v>
      </c>
    </row>
    <row r="38" spans="1:6" x14ac:dyDescent="0.25">
      <c r="A38" s="4">
        <v>13</v>
      </c>
      <c r="B38" s="3" t="s">
        <v>55</v>
      </c>
      <c r="C38" s="4"/>
      <c r="D38" s="4">
        <v>14</v>
      </c>
      <c r="E38" s="3" t="s">
        <v>56</v>
      </c>
      <c r="F38" s="4"/>
    </row>
    <row r="39" spans="1:6" x14ac:dyDescent="0.25">
      <c r="A39" s="4"/>
      <c r="B39" s="4" t="s">
        <v>40</v>
      </c>
      <c r="C39" s="4">
        <v>2000</v>
      </c>
      <c r="D39" s="4"/>
      <c r="E39" s="4" t="s">
        <v>40</v>
      </c>
      <c r="F39" s="4">
        <v>3350</v>
      </c>
    </row>
    <row r="40" spans="1:6" ht="21" x14ac:dyDescent="0.25">
      <c r="A40" s="4"/>
      <c r="B40" s="4" t="s">
        <v>41</v>
      </c>
      <c r="C40" s="4">
        <v>7600</v>
      </c>
      <c r="D40" s="4"/>
      <c r="E40" s="4" t="s">
        <v>41</v>
      </c>
      <c r="F40" s="4">
        <v>2996</v>
      </c>
    </row>
    <row r="41" spans="1:6" x14ac:dyDescent="0.25">
      <c r="A41" s="4"/>
      <c r="B41" s="4" t="s">
        <v>42</v>
      </c>
      <c r="C41" s="4">
        <v>10569</v>
      </c>
      <c r="D41" s="4"/>
      <c r="E41" s="4" t="s">
        <v>42</v>
      </c>
      <c r="F41" s="4">
        <v>2746</v>
      </c>
    </row>
    <row r="42" spans="1:6" x14ac:dyDescent="0.25">
      <c r="A42" s="4"/>
      <c r="B42" s="4" t="s">
        <v>43</v>
      </c>
      <c r="C42" s="4">
        <v>20069</v>
      </c>
      <c r="D42" s="4"/>
      <c r="E42" s="4" t="s">
        <v>43</v>
      </c>
      <c r="F42" s="4">
        <v>4744</v>
      </c>
    </row>
    <row r="43" spans="1:6" x14ac:dyDescent="0.25">
      <c r="A43" s="4"/>
      <c r="B43" s="4" t="s">
        <v>44</v>
      </c>
      <c r="C43" s="4">
        <v>10487</v>
      </c>
      <c r="D43" s="4"/>
      <c r="E43" s="4" t="s">
        <v>44</v>
      </c>
      <c r="F43" s="4">
        <v>10362</v>
      </c>
    </row>
    <row r="44" spans="1:6" ht="21" x14ac:dyDescent="0.25">
      <c r="A44" s="4">
        <v>15</v>
      </c>
      <c r="B44" s="3" t="s">
        <v>57</v>
      </c>
      <c r="C44" s="4"/>
      <c r="D44" s="4">
        <v>16</v>
      </c>
      <c r="E44" s="3" t="s">
        <v>58</v>
      </c>
      <c r="F44" s="4"/>
    </row>
    <row r="45" spans="1:6" x14ac:dyDescent="0.25">
      <c r="A45" s="4"/>
      <c r="B45" s="4" t="s">
        <v>40</v>
      </c>
      <c r="C45" s="4">
        <v>1248</v>
      </c>
      <c r="D45" s="4"/>
      <c r="E45" s="4" t="s">
        <v>40</v>
      </c>
      <c r="F45" s="4">
        <v>249</v>
      </c>
    </row>
    <row r="46" spans="1:6" ht="21" x14ac:dyDescent="0.25">
      <c r="A46" s="4"/>
      <c r="B46" s="4" t="s">
        <v>41</v>
      </c>
      <c r="C46" s="4">
        <v>749</v>
      </c>
      <c r="D46" s="4"/>
      <c r="E46" s="4" t="s">
        <v>41</v>
      </c>
      <c r="F46" s="4">
        <v>499</v>
      </c>
    </row>
    <row r="47" spans="1:6" x14ac:dyDescent="0.25">
      <c r="A47" s="4"/>
      <c r="B47" s="4" t="s">
        <v>42</v>
      </c>
      <c r="C47" s="4">
        <v>2247</v>
      </c>
      <c r="D47" s="4"/>
      <c r="E47" s="4" t="s">
        <v>42</v>
      </c>
      <c r="F47" s="4">
        <v>2746</v>
      </c>
    </row>
    <row r="48" spans="1:6" x14ac:dyDescent="0.25">
      <c r="A48" s="4"/>
      <c r="B48" s="4" t="s">
        <v>43</v>
      </c>
      <c r="C48" s="4">
        <v>5368</v>
      </c>
      <c r="D48" s="4"/>
      <c r="E48" s="4" t="s">
        <v>43</v>
      </c>
      <c r="F48" s="4">
        <v>10113</v>
      </c>
    </row>
    <row r="49" spans="1:6" x14ac:dyDescent="0.25">
      <c r="A49" s="4"/>
      <c r="B49" s="4" t="s">
        <v>44</v>
      </c>
      <c r="C49" s="4">
        <v>10487</v>
      </c>
      <c r="D49" s="4"/>
      <c r="E49" s="4" t="s">
        <v>44</v>
      </c>
      <c r="F49" s="4">
        <v>10362</v>
      </c>
    </row>
    <row r="50" spans="1:6" x14ac:dyDescent="0.25">
      <c r="A50" s="4">
        <v>17</v>
      </c>
      <c r="B50" s="3" t="s">
        <v>59</v>
      </c>
      <c r="C50" s="4"/>
      <c r="D50" s="4">
        <v>18</v>
      </c>
      <c r="E50" s="3" t="s">
        <v>60</v>
      </c>
      <c r="F50" s="4"/>
    </row>
    <row r="51" spans="1:6" x14ac:dyDescent="0.25">
      <c r="A51" s="4"/>
      <c r="B51" s="4" t="s">
        <v>40</v>
      </c>
      <c r="C51" s="4">
        <v>877</v>
      </c>
      <c r="D51" s="4"/>
      <c r="E51" s="4" t="s">
        <v>40</v>
      </c>
      <c r="F51" s="4">
        <v>873</v>
      </c>
    </row>
    <row r="52" spans="1:6" ht="21" x14ac:dyDescent="0.25">
      <c r="A52" s="4"/>
      <c r="B52" s="4" t="s">
        <v>41</v>
      </c>
      <c r="C52" s="4">
        <v>1755</v>
      </c>
      <c r="D52" s="4"/>
      <c r="E52" s="4" t="s">
        <v>41</v>
      </c>
      <c r="F52" s="4">
        <v>2497</v>
      </c>
    </row>
    <row r="53" spans="1:6" x14ac:dyDescent="0.25">
      <c r="A53" s="4"/>
      <c r="B53" s="4" t="s">
        <v>42</v>
      </c>
      <c r="C53" s="4">
        <v>2535</v>
      </c>
      <c r="D53" s="4"/>
      <c r="E53" s="4" t="s">
        <v>42</v>
      </c>
      <c r="F53" s="4">
        <v>4494</v>
      </c>
    </row>
    <row r="54" spans="1:6" x14ac:dyDescent="0.25">
      <c r="A54" s="4"/>
      <c r="B54" s="4" t="s">
        <v>43</v>
      </c>
      <c r="C54" s="4">
        <v>3608</v>
      </c>
      <c r="D54" s="4"/>
      <c r="E54" s="4" t="s">
        <v>43</v>
      </c>
      <c r="F54" s="4">
        <v>5243</v>
      </c>
    </row>
    <row r="55" spans="1:6" x14ac:dyDescent="0.25">
      <c r="A55" s="4"/>
      <c r="B55" s="4" t="s">
        <v>44</v>
      </c>
      <c r="C55" s="4">
        <v>4096</v>
      </c>
      <c r="D55" s="4"/>
      <c r="E55" s="4" t="s">
        <v>44</v>
      </c>
      <c r="F55" s="4">
        <v>12235</v>
      </c>
    </row>
    <row r="56" spans="1:6" x14ac:dyDescent="0.25">
      <c r="A56" s="4">
        <v>19</v>
      </c>
      <c r="B56" s="3" t="s">
        <v>61</v>
      </c>
      <c r="C56" s="4"/>
      <c r="D56" s="4">
        <v>20</v>
      </c>
      <c r="E56" s="3" t="s">
        <v>62</v>
      </c>
      <c r="F56" s="4"/>
    </row>
    <row r="57" spans="1:6" x14ac:dyDescent="0.25">
      <c r="A57" s="4"/>
      <c r="B57" s="4" t="s">
        <v>40</v>
      </c>
      <c r="C57" s="4">
        <v>1657</v>
      </c>
      <c r="D57" s="4"/>
      <c r="E57" s="4" t="s">
        <v>40</v>
      </c>
      <c r="F57" s="4">
        <v>2500</v>
      </c>
    </row>
    <row r="58" spans="1:6" ht="21" x14ac:dyDescent="0.25">
      <c r="A58" s="4"/>
      <c r="B58" s="4" t="s">
        <v>41</v>
      </c>
      <c r="C58" s="4">
        <v>2730</v>
      </c>
      <c r="D58" s="4"/>
      <c r="E58" s="4" t="s">
        <v>41</v>
      </c>
      <c r="F58" s="4">
        <v>2500</v>
      </c>
    </row>
    <row r="59" spans="1:6" x14ac:dyDescent="0.25">
      <c r="A59" s="4"/>
      <c r="B59" s="4" t="s">
        <v>42</v>
      </c>
      <c r="C59" s="4">
        <v>2048</v>
      </c>
      <c r="D59" s="4"/>
      <c r="E59" s="4" t="s">
        <v>42</v>
      </c>
      <c r="F59" s="4">
        <v>2500</v>
      </c>
    </row>
    <row r="60" spans="1:6" x14ac:dyDescent="0.25">
      <c r="A60" s="4"/>
      <c r="B60" s="4" t="s">
        <v>43</v>
      </c>
      <c r="C60" s="4">
        <v>3023</v>
      </c>
      <c r="D60" s="4"/>
      <c r="E60" s="4" t="s">
        <v>43</v>
      </c>
      <c r="F60" s="4">
        <v>5000</v>
      </c>
    </row>
    <row r="61" spans="1:6" x14ac:dyDescent="0.25">
      <c r="A61" s="4"/>
      <c r="B61" s="4" t="s">
        <v>44</v>
      </c>
      <c r="C61" s="4">
        <v>2048</v>
      </c>
      <c r="D61" s="4"/>
      <c r="E61" s="4" t="s">
        <v>44</v>
      </c>
      <c r="F61" s="4">
        <v>5000</v>
      </c>
    </row>
    <row r="62" spans="1:6" ht="21" x14ac:dyDescent="0.25">
      <c r="A62" s="4">
        <v>21</v>
      </c>
      <c r="B62" s="3" t="s">
        <v>63</v>
      </c>
      <c r="C62" s="4"/>
      <c r="D62" s="4">
        <v>22</v>
      </c>
      <c r="E62" s="3" t="s">
        <v>64</v>
      </c>
      <c r="F62" s="4"/>
    </row>
    <row r="63" spans="1:6" x14ac:dyDescent="0.25">
      <c r="A63" s="4"/>
      <c r="B63" s="4" t="s">
        <v>40</v>
      </c>
      <c r="C63" s="4">
        <v>100</v>
      </c>
      <c r="D63" s="4"/>
      <c r="E63" s="4" t="s">
        <v>40</v>
      </c>
      <c r="F63" s="4">
        <v>1997</v>
      </c>
    </row>
    <row r="64" spans="1:6" ht="21" x14ac:dyDescent="0.25">
      <c r="A64" s="4"/>
      <c r="B64" s="4" t="s">
        <v>41</v>
      </c>
      <c r="C64" s="4">
        <v>100</v>
      </c>
      <c r="D64" s="4"/>
      <c r="E64" s="4" t="s">
        <v>41</v>
      </c>
      <c r="F64" s="4">
        <v>2996</v>
      </c>
    </row>
    <row r="65" spans="1:6" x14ac:dyDescent="0.25">
      <c r="A65" s="4"/>
      <c r="B65" s="4" t="s">
        <v>42</v>
      </c>
      <c r="C65" s="4">
        <v>100</v>
      </c>
      <c r="D65" s="4"/>
      <c r="E65" s="4" t="s">
        <v>42</v>
      </c>
      <c r="F65" s="4">
        <v>3745</v>
      </c>
    </row>
    <row r="66" spans="1:6" x14ac:dyDescent="0.25">
      <c r="A66" s="4"/>
      <c r="B66" s="4" t="s">
        <v>43</v>
      </c>
      <c r="C66" s="4">
        <v>495</v>
      </c>
      <c r="D66" s="4"/>
      <c r="E66" s="4" t="s">
        <v>43</v>
      </c>
      <c r="F66" s="4">
        <v>6866</v>
      </c>
    </row>
    <row r="67" spans="1:6" x14ac:dyDescent="0.25">
      <c r="A67" s="4"/>
      <c r="B67" s="4" t="s">
        <v>44</v>
      </c>
      <c r="C67" s="4">
        <v>495</v>
      </c>
      <c r="D67" s="4"/>
      <c r="E67" s="4" t="s">
        <v>44</v>
      </c>
      <c r="F67" s="4">
        <v>3121</v>
      </c>
    </row>
    <row r="68" spans="1:6" ht="21" x14ac:dyDescent="0.25">
      <c r="A68" s="4">
        <v>23</v>
      </c>
      <c r="B68" s="3" t="s">
        <v>65</v>
      </c>
      <c r="C68" s="4"/>
      <c r="D68" s="4">
        <v>24</v>
      </c>
      <c r="E68" s="3" t="s">
        <v>66</v>
      </c>
      <c r="F68" s="4"/>
    </row>
    <row r="69" spans="1:6" x14ac:dyDescent="0.25">
      <c r="A69" s="4"/>
      <c r="B69" s="4" t="s">
        <v>40</v>
      </c>
      <c r="C69" s="4">
        <v>780</v>
      </c>
      <c r="D69" s="4"/>
      <c r="E69" s="4" t="s">
        <v>40</v>
      </c>
      <c r="F69" s="4">
        <v>2372</v>
      </c>
    </row>
    <row r="70" spans="1:6" ht="21" x14ac:dyDescent="0.25">
      <c r="A70" s="4"/>
      <c r="B70" s="4" t="s">
        <v>41</v>
      </c>
      <c r="C70" s="4">
        <v>877</v>
      </c>
      <c r="D70" s="4"/>
      <c r="E70" s="4" t="s">
        <v>41</v>
      </c>
      <c r="F70" s="4">
        <v>1747</v>
      </c>
    </row>
    <row r="71" spans="1:6" x14ac:dyDescent="0.25">
      <c r="A71" s="4"/>
      <c r="B71" s="4" t="s">
        <v>42</v>
      </c>
      <c r="C71" s="4">
        <v>1267</v>
      </c>
      <c r="D71" s="4"/>
      <c r="E71" s="4" t="s">
        <v>42</v>
      </c>
      <c r="F71" s="4">
        <v>2996</v>
      </c>
    </row>
    <row r="72" spans="1:6" x14ac:dyDescent="0.25">
      <c r="A72" s="4"/>
      <c r="B72" s="4" t="s">
        <v>43</v>
      </c>
      <c r="C72" s="4">
        <v>2438</v>
      </c>
      <c r="D72" s="4"/>
      <c r="E72" s="4" t="s">
        <v>43</v>
      </c>
      <c r="F72" s="4">
        <v>4245</v>
      </c>
    </row>
    <row r="73" spans="1:6" x14ac:dyDescent="0.25">
      <c r="A73" s="4"/>
      <c r="B73" s="4" t="s">
        <v>44</v>
      </c>
      <c r="C73" s="4">
        <v>2243</v>
      </c>
      <c r="D73" s="4"/>
      <c r="E73" s="4" t="s">
        <v>44</v>
      </c>
      <c r="F73" s="4">
        <v>8989</v>
      </c>
    </row>
    <row r="74" spans="1:6" ht="21" x14ac:dyDescent="0.25">
      <c r="A74" s="4">
        <v>25</v>
      </c>
      <c r="B74" s="3" t="s">
        <v>67</v>
      </c>
      <c r="C74" s="4"/>
      <c r="D74" s="4">
        <v>26</v>
      </c>
      <c r="E74" s="3" t="s">
        <v>68</v>
      </c>
      <c r="F74" s="4"/>
    </row>
    <row r="75" spans="1:6" x14ac:dyDescent="0.25">
      <c r="A75" s="4"/>
      <c r="B75" s="4" t="s">
        <v>40</v>
      </c>
      <c r="C75" s="4">
        <v>780</v>
      </c>
      <c r="D75" s="4"/>
      <c r="E75" s="4" t="s">
        <v>40</v>
      </c>
      <c r="F75" s="4">
        <v>3000</v>
      </c>
    </row>
    <row r="76" spans="1:6" ht="21" x14ac:dyDescent="0.25">
      <c r="A76" s="4"/>
      <c r="B76" s="4" t="s">
        <v>41</v>
      </c>
      <c r="C76" s="4">
        <v>780</v>
      </c>
      <c r="D76" s="4"/>
      <c r="E76" s="4" t="s">
        <v>41</v>
      </c>
      <c r="F76" s="4">
        <v>3000</v>
      </c>
    </row>
    <row r="77" spans="1:6" x14ac:dyDescent="0.25">
      <c r="A77" s="4"/>
      <c r="B77" s="4" t="s">
        <v>42</v>
      </c>
      <c r="C77" s="4">
        <v>1852</v>
      </c>
      <c r="D77" s="4"/>
      <c r="E77" s="4" t="s">
        <v>42</v>
      </c>
      <c r="F77" s="4">
        <v>3500</v>
      </c>
    </row>
    <row r="78" spans="1:6" x14ac:dyDescent="0.25">
      <c r="A78" s="4"/>
      <c r="B78" s="4" t="s">
        <v>43</v>
      </c>
      <c r="C78" s="4">
        <v>3510</v>
      </c>
      <c r="D78" s="4"/>
      <c r="E78" s="4" t="s">
        <v>43</v>
      </c>
      <c r="F78" s="4">
        <v>6600</v>
      </c>
    </row>
    <row r="79" spans="1:6" x14ac:dyDescent="0.25">
      <c r="A79" s="4"/>
      <c r="B79" s="4" t="s">
        <v>44</v>
      </c>
      <c r="C79" s="4">
        <v>4096</v>
      </c>
      <c r="D79" s="4"/>
      <c r="E79" s="4" t="s">
        <v>44</v>
      </c>
      <c r="F79" s="4">
        <v>6600</v>
      </c>
    </row>
    <row r="80" spans="1:6" ht="21" x14ac:dyDescent="0.25">
      <c r="A80" s="4">
        <v>27</v>
      </c>
      <c r="B80" s="3" t="s">
        <v>69</v>
      </c>
      <c r="C80" s="4"/>
      <c r="D80" s="4">
        <v>28</v>
      </c>
      <c r="E80" s="3" t="s">
        <v>70</v>
      </c>
      <c r="F80" s="4"/>
    </row>
    <row r="81" spans="1:6" x14ac:dyDescent="0.25">
      <c r="A81" s="4"/>
      <c r="B81" s="4" t="s">
        <v>40</v>
      </c>
      <c r="C81" s="4">
        <v>675</v>
      </c>
      <c r="D81" s="4"/>
      <c r="E81" s="4" t="s">
        <v>40</v>
      </c>
      <c r="F81" s="4">
        <v>1747</v>
      </c>
    </row>
    <row r="82" spans="1:6" ht="21" x14ac:dyDescent="0.25">
      <c r="A82" s="4"/>
      <c r="B82" s="4" t="s">
        <v>41</v>
      </c>
      <c r="C82" s="4">
        <v>875</v>
      </c>
      <c r="D82" s="4"/>
      <c r="E82" s="4" t="s">
        <v>41</v>
      </c>
      <c r="F82" s="4">
        <v>3371</v>
      </c>
    </row>
    <row r="83" spans="1:6" x14ac:dyDescent="0.25">
      <c r="A83" s="4"/>
      <c r="B83" s="4" t="s">
        <v>42</v>
      </c>
      <c r="C83" s="4">
        <v>1250</v>
      </c>
      <c r="D83" s="4"/>
      <c r="E83" s="4" t="s">
        <v>42</v>
      </c>
      <c r="F83" s="4">
        <v>3745</v>
      </c>
    </row>
    <row r="84" spans="1:6" x14ac:dyDescent="0.25">
      <c r="A84" s="4"/>
      <c r="B84" s="4" t="s">
        <v>43</v>
      </c>
      <c r="C84" s="4">
        <v>1267</v>
      </c>
      <c r="D84" s="4"/>
      <c r="E84" s="4" t="s">
        <v>43</v>
      </c>
      <c r="F84" s="4">
        <v>5493</v>
      </c>
    </row>
    <row r="85" spans="1:6" x14ac:dyDescent="0.25">
      <c r="A85" s="4"/>
      <c r="B85" s="4" t="s">
        <v>44</v>
      </c>
      <c r="C85" s="4">
        <v>2250</v>
      </c>
      <c r="D85" s="4"/>
      <c r="E85" s="4" t="s">
        <v>44</v>
      </c>
      <c r="F85" s="4">
        <v>13733</v>
      </c>
    </row>
    <row r="86" spans="1:6" ht="31.5" x14ac:dyDescent="0.25">
      <c r="A86" s="4">
        <v>29</v>
      </c>
      <c r="B86" s="3" t="s">
        <v>71</v>
      </c>
      <c r="C86" s="4"/>
      <c r="D86" s="4">
        <v>30</v>
      </c>
      <c r="E86" s="3" t="s">
        <v>72</v>
      </c>
      <c r="F86" s="4"/>
    </row>
    <row r="87" spans="1:6" x14ac:dyDescent="0.25">
      <c r="A87" s="4"/>
      <c r="B87" s="4" t="s">
        <v>40</v>
      </c>
      <c r="C87" s="4">
        <v>1072</v>
      </c>
      <c r="D87" s="4"/>
      <c r="E87" s="4" t="s">
        <v>40</v>
      </c>
      <c r="F87" s="4">
        <v>1560</v>
      </c>
    </row>
    <row r="88" spans="1:6" ht="21" x14ac:dyDescent="0.25">
      <c r="A88" s="4"/>
      <c r="B88" s="4" t="s">
        <v>41</v>
      </c>
      <c r="C88" s="4">
        <v>975</v>
      </c>
      <c r="D88" s="4"/>
      <c r="E88" s="4" t="s">
        <v>41</v>
      </c>
      <c r="F88" s="4">
        <v>1365</v>
      </c>
    </row>
    <row r="89" spans="1:6" x14ac:dyDescent="0.25">
      <c r="A89" s="4"/>
      <c r="B89" s="4" t="s">
        <v>42</v>
      </c>
      <c r="C89" s="4">
        <v>975</v>
      </c>
      <c r="D89" s="4"/>
      <c r="E89" s="4" t="s">
        <v>42</v>
      </c>
      <c r="F89" s="4">
        <v>1072</v>
      </c>
    </row>
    <row r="90" spans="1:6" x14ac:dyDescent="0.25">
      <c r="A90" s="4"/>
      <c r="B90" s="4" t="s">
        <v>43</v>
      </c>
      <c r="C90" s="4">
        <v>1657</v>
      </c>
      <c r="D90" s="4"/>
      <c r="E90" s="4" t="s">
        <v>43</v>
      </c>
      <c r="F90" s="4">
        <v>1560</v>
      </c>
    </row>
    <row r="91" spans="1:6" x14ac:dyDescent="0.25">
      <c r="A91" s="4"/>
      <c r="B91" s="4" t="s">
        <v>44</v>
      </c>
      <c r="C91" s="4">
        <v>2145</v>
      </c>
      <c r="D91" s="4"/>
      <c r="E91" s="4" t="s">
        <v>44</v>
      </c>
      <c r="F91" s="4">
        <v>1755</v>
      </c>
    </row>
    <row r="92" spans="1:6" ht="21" x14ac:dyDescent="0.25">
      <c r="A92" s="4">
        <v>31</v>
      </c>
      <c r="B92" s="3" t="s">
        <v>73</v>
      </c>
      <c r="C92" s="4"/>
      <c r="D92" s="4">
        <v>32</v>
      </c>
      <c r="E92" s="3" t="s">
        <v>74</v>
      </c>
      <c r="F92" s="4"/>
    </row>
    <row r="93" spans="1:6" x14ac:dyDescent="0.25">
      <c r="A93" s="4"/>
      <c r="B93" s="4" t="s">
        <v>40</v>
      </c>
      <c r="C93" s="4">
        <v>2340</v>
      </c>
      <c r="D93" s="4"/>
      <c r="E93" s="4" t="s">
        <v>40</v>
      </c>
      <c r="F93" s="4">
        <v>390</v>
      </c>
    </row>
    <row r="94" spans="1:6" ht="21" x14ac:dyDescent="0.25">
      <c r="A94" s="4"/>
      <c r="B94" s="4" t="s">
        <v>41</v>
      </c>
      <c r="C94" s="4">
        <v>1657</v>
      </c>
      <c r="D94" s="4"/>
      <c r="E94" s="4" t="s">
        <v>41</v>
      </c>
      <c r="F94" s="4">
        <v>682</v>
      </c>
    </row>
    <row r="95" spans="1:6" x14ac:dyDescent="0.25">
      <c r="A95" s="4"/>
      <c r="B95" s="4" t="s">
        <v>42</v>
      </c>
      <c r="C95" s="4">
        <v>1755</v>
      </c>
      <c r="D95" s="4"/>
      <c r="E95" s="4" t="s">
        <v>42</v>
      </c>
      <c r="F95" s="4">
        <v>1560</v>
      </c>
    </row>
    <row r="96" spans="1:6" x14ac:dyDescent="0.25">
      <c r="A96" s="4"/>
      <c r="B96" s="4" t="s">
        <v>43</v>
      </c>
      <c r="C96" s="4">
        <v>3023</v>
      </c>
      <c r="D96" s="4"/>
      <c r="E96" s="4" t="s">
        <v>43</v>
      </c>
      <c r="F96" s="4">
        <v>2145</v>
      </c>
    </row>
    <row r="97" spans="1:6" x14ac:dyDescent="0.25">
      <c r="A97" s="4"/>
      <c r="B97" s="4" t="s">
        <v>44</v>
      </c>
      <c r="C97" s="4">
        <v>3705</v>
      </c>
      <c r="D97" s="4"/>
      <c r="E97" s="4" t="s">
        <v>44</v>
      </c>
      <c r="F97" s="4">
        <v>4193</v>
      </c>
    </row>
    <row r="98" spans="1:6" ht="21" x14ac:dyDescent="0.25">
      <c r="A98" s="4">
        <v>33</v>
      </c>
      <c r="B98" s="3" t="s">
        <v>75</v>
      </c>
      <c r="C98" s="4"/>
      <c r="D98" s="4">
        <v>34</v>
      </c>
      <c r="E98" s="3" t="s">
        <v>76</v>
      </c>
      <c r="F98" s="4"/>
    </row>
    <row r="99" spans="1:6" x14ac:dyDescent="0.25">
      <c r="A99" s="4"/>
      <c r="B99" s="4" t="s">
        <v>40</v>
      </c>
      <c r="C99" s="4">
        <v>780</v>
      </c>
      <c r="D99" s="4"/>
      <c r="E99" s="4" t="s">
        <v>40</v>
      </c>
      <c r="F99" s="4">
        <v>585</v>
      </c>
    </row>
    <row r="100" spans="1:6" ht="21" x14ac:dyDescent="0.25">
      <c r="A100" s="4"/>
      <c r="B100" s="4" t="s">
        <v>41</v>
      </c>
      <c r="C100" s="4">
        <v>2145</v>
      </c>
      <c r="D100" s="4"/>
      <c r="E100" s="4" t="s">
        <v>41</v>
      </c>
      <c r="F100" s="4">
        <v>1267</v>
      </c>
    </row>
    <row r="101" spans="1:6" x14ac:dyDescent="0.25">
      <c r="A101" s="4"/>
      <c r="B101" s="4" t="s">
        <v>42</v>
      </c>
      <c r="C101" s="4">
        <v>1072</v>
      </c>
      <c r="D101" s="4"/>
      <c r="E101" s="4" t="s">
        <v>42</v>
      </c>
      <c r="F101" s="4">
        <v>1950</v>
      </c>
    </row>
    <row r="102" spans="1:6" x14ac:dyDescent="0.25">
      <c r="A102" s="4"/>
      <c r="B102" s="4" t="s">
        <v>43</v>
      </c>
      <c r="C102" s="4">
        <v>2438</v>
      </c>
      <c r="D102" s="4"/>
      <c r="E102" s="4" t="s">
        <v>43</v>
      </c>
      <c r="F102" s="4">
        <v>1755</v>
      </c>
    </row>
    <row r="103" spans="1:6" x14ac:dyDescent="0.25">
      <c r="A103" s="4"/>
      <c r="B103" s="4" t="s">
        <v>44</v>
      </c>
      <c r="C103" s="4">
        <v>1267</v>
      </c>
      <c r="D103" s="4"/>
      <c r="E103" s="4" t="s">
        <v>44</v>
      </c>
      <c r="F103" s="4">
        <v>3510</v>
      </c>
    </row>
    <row r="104" spans="1:6" ht="21" x14ac:dyDescent="0.25">
      <c r="A104" s="4">
        <v>35</v>
      </c>
      <c r="B104" s="3" t="s">
        <v>77</v>
      </c>
      <c r="C104" s="4"/>
      <c r="D104" s="4">
        <v>36</v>
      </c>
      <c r="E104" s="3" t="s">
        <v>78</v>
      </c>
      <c r="F104" s="4"/>
    </row>
    <row r="105" spans="1:6" x14ac:dyDescent="0.25">
      <c r="A105" s="4"/>
      <c r="B105" s="4" t="s">
        <v>40</v>
      </c>
      <c r="C105" s="4">
        <v>585</v>
      </c>
      <c r="D105" s="4"/>
      <c r="E105" s="4" t="s">
        <v>40</v>
      </c>
      <c r="F105" s="4">
        <v>1170</v>
      </c>
    </row>
    <row r="106" spans="1:6" ht="21" x14ac:dyDescent="0.25">
      <c r="A106" s="4"/>
      <c r="B106" s="4" t="s">
        <v>41</v>
      </c>
      <c r="C106" s="4">
        <v>1170</v>
      </c>
      <c r="D106" s="4"/>
      <c r="E106" s="4" t="s">
        <v>41</v>
      </c>
      <c r="F106" s="4">
        <v>2048</v>
      </c>
    </row>
    <row r="107" spans="1:6" x14ac:dyDescent="0.25">
      <c r="A107" s="4"/>
      <c r="B107" s="4" t="s">
        <v>42</v>
      </c>
      <c r="C107" s="4">
        <v>1365</v>
      </c>
      <c r="D107" s="4"/>
      <c r="E107" s="4" t="s">
        <v>42</v>
      </c>
      <c r="F107" s="4">
        <v>975</v>
      </c>
    </row>
    <row r="108" spans="1:6" x14ac:dyDescent="0.25">
      <c r="A108" s="4"/>
      <c r="B108" s="4" t="s">
        <v>43</v>
      </c>
      <c r="C108" s="4">
        <v>1755</v>
      </c>
      <c r="D108" s="4"/>
      <c r="E108" s="4" t="s">
        <v>43</v>
      </c>
      <c r="F108" s="4">
        <v>1365</v>
      </c>
    </row>
    <row r="109" spans="1:6" x14ac:dyDescent="0.25">
      <c r="A109" s="4"/>
      <c r="B109" s="4" t="s">
        <v>44</v>
      </c>
      <c r="C109" s="4">
        <v>1462</v>
      </c>
      <c r="D109" s="4"/>
      <c r="E109" s="4" t="s">
        <v>44</v>
      </c>
      <c r="F109" s="4">
        <v>1170</v>
      </c>
    </row>
    <row r="110" spans="1:6" ht="21" x14ac:dyDescent="0.25">
      <c r="A110" s="4">
        <v>37</v>
      </c>
      <c r="B110" s="3" t="s">
        <v>79</v>
      </c>
      <c r="C110" s="4"/>
      <c r="D110" s="4">
        <v>38</v>
      </c>
      <c r="E110" s="3" t="s">
        <v>80</v>
      </c>
      <c r="F110" s="4"/>
    </row>
    <row r="111" spans="1:6" x14ac:dyDescent="0.25">
      <c r="A111" s="4"/>
      <c r="B111" s="4" t="s">
        <v>40</v>
      </c>
      <c r="C111" s="4">
        <v>1365</v>
      </c>
      <c r="D111" s="4"/>
      <c r="E111" s="4" t="s">
        <v>40</v>
      </c>
      <c r="F111" s="4">
        <v>1657</v>
      </c>
    </row>
    <row r="112" spans="1:6" ht="21" x14ac:dyDescent="0.25">
      <c r="A112" s="4"/>
      <c r="B112" s="4" t="s">
        <v>41</v>
      </c>
      <c r="C112" s="4">
        <v>2048</v>
      </c>
      <c r="D112" s="4"/>
      <c r="E112" s="4" t="s">
        <v>41</v>
      </c>
      <c r="F112" s="4">
        <v>1267</v>
      </c>
    </row>
    <row r="113" spans="1:6" x14ac:dyDescent="0.25">
      <c r="A113" s="4"/>
      <c r="B113" s="4" t="s">
        <v>42</v>
      </c>
      <c r="C113" s="4">
        <v>2535</v>
      </c>
      <c r="D113" s="4"/>
      <c r="E113" s="4" t="s">
        <v>42</v>
      </c>
      <c r="F113" s="4">
        <v>1072</v>
      </c>
    </row>
    <row r="114" spans="1:6" x14ac:dyDescent="0.25">
      <c r="A114" s="4"/>
      <c r="B114" s="4" t="s">
        <v>43</v>
      </c>
      <c r="C114" s="4">
        <v>3023</v>
      </c>
      <c r="D114" s="4"/>
      <c r="E114" s="4" t="s">
        <v>43</v>
      </c>
      <c r="F114" s="4">
        <v>1852</v>
      </c>
    </row>
    <row r="115" spans="1:6" x14ac:dyDescent="0.25">
      <c r="A115" s="4"/>
      <c r="B115" s="4" t="s">
        <v>44</v>
      </c>
      <c r="C115" s="4">
        <v>2340</v>
      </c>
      <c r="D115" s="4"/>
      <c r="E115" s="4" t="s">
        <v>44</v>
      </c>
      <c r="F115" s="4">
        <v>2145</v>
      </c>
    </row>
    <row r="116" spans="1:6" ht="21" x14ac:dyDescent="0.25">
      <c r="A116" s="4">
        <v>39</v>
      </c>
      <c r="B116" s="3" t="s">
        <v>81</v>
      </c>
      <c r="C116" s="4"/>
      <c r="D116" s="4">
        <v>40</v>
      </c>
      <c r="E116" s="3" t="s">
        <v>82</v>
      </c>
      <c r="F116" s="4"/>
    </row>
    <row r="117" spans="1:6" x14ac:dyDescent="0.25">
      <c r="A117" s="4"/>
      <c r="B117" s="4" t="s">
        <v>40</v>
      </c>
      <c r="C117" s="4">
        <v>390</v>
      </c>
      <c r="D117" s="4"/>
      <c r="E117" s="4" t="s">
        <v>40</v>
      </c>
      <c r="F117" s="4">
        <v>780</v>
      </c>
    </row>
    <row r="118" spans="1:6" ht="21" x14ac:dyDescent="0.25">
      <c r="A118" s="4"/>
      <c r="B118" s="4" t="s">
        <v>41</v>
      </c>
      <c r="C118" s="4">
        <v>1365</v>
      </c>
      <c r="D118" s="4"/>
      <c r="E118" s="4" t="s">
        <v>41</v>
      </c>
      <c r="F118" s="4">
        <v>1072</v>
      </c>
    </row>
    <row r="119" spans="1:6" x14ac:dyDescent="0.25">
      <c r="A119" s="4"/>
      <c r="B119" s="4" t="s">
        <v>42</v>
      </c>
      <c r="C119" s="4">
        <v>1852</v>
      </c>
      <c r="D119" s="4"/>
      <c r="E119" s="4" t="s">
        <v>42</v>
      </c>
      <c r="F119" s="4">
        <v>1365</v>
      </c>
    </row>
    <row r="120" spans="1:6" x14ac:dyDescent="0.25">
      <c r="A120" s="4"/>
      <c r="B120" s="4" t="s">
        <v>43</v>
      </c>
      <c r="C120" s="4">
        <v>2340</v>
      </c>
      <c r="D120" s="4"/>
      <c r="E120" s="4" t="s">
        <v>43</v>
      </c>
      <c r="F120" s="4">
        <v>1755</v>
      </c>
    </row>
    <row r="121" spans="1:6" x14ac:dyDescent="0.25">
      <c r="A121" s="4"/>
      <c r="B121" s="4" t="s">
        <v>44</v>
      </c>
      <c r="C121" s="4">
        <v>5851</v>
      </c>
      <c r="D121" s="4"/>
      <c r="E121" s="4" t="s">
        <v>44</v>
      </c>
      <c r="F121" s="4">
        <v>2633</v>
      </c>
    </row>
    <row r="122" spans="1:6" ht="31.5" x14ac:dyDescent="0.25">
      <c r="A122" s="4">
        <v>41</v>
      </c>
      <c r="B122" s="3" t="s">
        <v>83</v>
      </c>
      <c r="C122" s="4"/>
      <c r="D122" s="4">
        <v>42</v>
      </c>
      <c r="E122" s="3" t="s">
        <v>84</v>
      </c>
      <c r="F122" s="4"/>
    </row>
    <row r="123" spans="1:6" x14ac:dyDescent="0.25">
      <c r="A123" s="4"/>
      <c r="B123" s="4" t="s">
        <v>40</v>
      </c>
      <c r="C123" s="4">
        <v>100</v>
      </c>
      <c r="D123" s="4"/>
      <c r="E123" s="4" t="s">
        <v>40</v>
      </c>
      <c r="F123" s="4">
        <v>743</v>
      </c>
    </row>
    <row r="124" spans="1:6" ht="21" x14ac:dyDescent="0.25">
      <c r="A124" s="4"/>
      <c r="B124" s="4" t="s">
        <v>41</v>
      </c>
      <c r="C124" s="4">
        <v>100</v>
      </c>
      <c r="D124" s="4"/>
      <c r="E124" s="4" t="s">
        <v>41</v>
      </c>
      <c r="F124" s="4">
        <v>495</v>
      </c>
    </row>
    <row r="125" spans="1:6" x14ac:dyDescent="0.25">
      <c r="A125" s="4"/>
      <c r="B125" s="4" t="s">
        <v>42</v>
      </c>
      <c r="C125" s="4">
        <v>495</v>
      </c>
      <c r="D125" s="4"/>
      <c r="E125" s="4" t="s">
        <v>42</v>
      </c>
      <c r="F125" s="4">
        <v>1735</v>
      </c>
    </row>
    <row r="126" spans="1:6" x14ac:dyDescent="0.25">
      <c r="A126" s="4"/>
      <c r="B126" s="4" t="s">
        <v>43</v>
      </c>
      <c r="C126" s="4">
        <v>495</v>
      </c>
      <c r="D126" s="4"/>
      <c r="E126" s="4" t="s">
        <v>43</v>
      </c>
      <c r="F126" s="4">
        <v>2727</v>
      </c>
    </row>
    <row r="127" spans="1:6" x14ac:dyDescent="0.25">
      <c r="A127" s="4"/>
      <c r="B127" s="4" t="s">
        <v>44</v>
      </c>
      <c r="C127" s="4">
        <v>495</v>
      </c>
      <c r="D127" s="4"/>
      <c r="E127" s="4" t="s">
        <v>44</v>
      </c>
      <c r="F127" s="4">
        <v>2727</v>
      </c>
    </row>
    <row r="128" spans="1:6" ht="21" x14ac:dyDescent="0.25">
      <c r="A128" s="4">
        <v>43</v>
      </c>
      <c r="B128" s="3" t="s">
        <v>85</v>
      </c>
      <c r="C128" s="4"/>
      <c r="D128" s="4">
        <v>44</v>
      </c>
      <c r="E128" s="3" t="s">
        <v>86</v>
      </c>
      <c r="F128" s="4"/>
    </row>
    <row r="129" spans="1:6" x14ac:dyDescent="0.25">
      <c r="A129" s="4"/>
      <c r="B129" s="4" t="s">
        <v>40</v>
      </c>
      <c r="C129" s="4">
        <v>2048</v>
      </c>
      <c r="D129" s="4"/>
      <c r="E129" s="4" t="s">
        <v>40</v>
      </c>
      <c r="F129" s="4">
        <v>100</v>
      </c>
    </row>
    <row r="130" spans="1:6" ht="21" x14ac:dyDescent="0.25">
      <c r="A130" s="4"/>
      <c r="B130" s="4" t="s">
        <v>41</v>
      </c>
      <c r="C130" s="4">
        <v>1755</v>
      </c>
      <c r="D130" s="4"/>
      <c r="E130" s="4" t="s">
        <v>41</v>
      </c>
      <c r="F130" s="4">
        <v>495</v>
      </c>
    </row>
    <row r="131" spans="1:6" x14ac:dyDescent="0.25">
      <c r="A131" s="4"/>
      <c r="B131" s="4" t="s">
        <v>42</v>
      </c>
      <c r="C131" s="4">
        <v>1657</v>
      </c>
      <c r="D131" s="4"/>
      <c r="E131" s="4" t="s">
        <v>42</v>
      </c>
      <c r="F131" s="4">
        <v>2231</v>
      </c>
    </row>
    <row r="132" spans="1:6" x14ac:dyDescent="0.25">
      <c r="A132" s="4"/>
      <c r="B132" s="4" t="s">
        <v>43</v>
      </c>
      <c r="C132" s="4">
        <v>2633</v>
      </c>
      <c r="D132" s="4"/>
      <c r="E132" s="4" t="s">
        <v>43</v>
      </c>
      <c r="F132" s="4">
        <v>2727</v>
      </c>
    </row>
    <row r="133" spans="1:6" x14ac:dyDescent="0.25">
      <c r="A133" s="4"/>
      <c r="B133" s="4" t="s">
        <v>44</v>
      </c>
      <c r="C133" s="4">
        <v>3218</v>
      </c>
      <c r="D133" s="4"/>
      <c r="E133" s="4" t="s">
        <v>44</v>
      </c>
      <c r="F133" s="4">
        <v>3718</v>
      </c>
    </row>
    <row r="134" spans="1:6" ht="21" x14ac:dyDescent="0.25">
      <c r="A134" s="4">
        <v>45</v>
      </c>
      <c r="B134" s="3" t="s">
        <v>87</v>
      </c>
      <c r="C134" s="4"/>
      <c r="D134" s="4">
        <v>46</v>
      </c>
      <c r="E134" s="3" t="s">
        <v>88</v>
      </c>
      <c r="F134" s="4"/>
    </row>
    <row r="135" spans="1:6" x14ac:dyDescent="0.25">
      <c r="A135" s="4"/>
      <c r="B135" s="4" t="s">
        <v>40</v>
      </c>
      <c r="C135" s="4">
        <v>1462</v>
      </c>
      <c r="D135" s="4"/>
      <c r="E135" s="4" t="s">
        <v>40</v>
      </c>
      <c r="F135" s="4">
        <v>1955</v>
      </c>
    </row>
    <row r="136" spans="1:6" ht="21" x14ac:dyDescent="0.25">
      <c r="A136" s="4"/>
      <c r="B136" s="4" t="s">
        <v>41</v>
      </c>
      <c r="C136" s="4">
        <v>1000</v>
      </c>
      <c r="D136" s="4"/>
      <c r="E136" s="4" t="s">
        <v>41</v>
      </c>
      <c r="F136" s="4">
        <v>991</v>
      </c>
    </row>
    <row r="137" spans="1:6" x14ac:dyDescent="0.25">
      <c r="A137" s="4"/>
      <c r="B137" s="4" t="s">
        <v>42</v>
      </c>
      <c r="C137" s="4">
        <v>975</v>
      </c>
      <c r="D137" s="4"/>
      <c r="E137" s="4" t="s">
        <v>42</v>
      </c>
      <c r="F137" s="4">
        <v>1025</v>
      </c>
    </row>
    <row r="138" spans="1:6" x14ac:dyDescent="0.25">
      <c r="A138" s="4"/>
      <c r="B138" s="4" t="s">
        <v>43</v>
      </c>
      <c r="C138" s="4">
        <v>1400</v>
      </c>
      <c r="D138" s="4"/>
      <c r="E138" s="4" t="s">
        <v>43</v>
      </c>
      <c r="F138" s="4">
        <v>1025</v>
      </c>
    </row>
    <row r="139" spans="1:6" x14ac:dyDescent="0.25">
      <c r="A139" s="4"/>
      <c r="B139" s="4" t="s">
        <v>44</v>
      </c>
      <c r="C139" s="4">
        <v>2000</v>
      </c>
      <c r="D139" s="4"/>
      <c r="E139" s="4" t="s">
        <v>44</v>
      </c>
      <c r="F139" s="4">
        <v>1955</v>
      </c>
    </row>
    <row r="140" spans="1:6" ht="21" x14ac:dyDescent="0.25">
      <c r="A140" s="4">
        <v>47</v>
      </c>
      <c r="B140" s="3" t="s">
        <v>89</v>
      </c>
      <c r="C140" s="4"/>
      <c r="D140" s="4">
        <v>48</v>
      </c>
      <c r="E140" s="3" t="s">
        <v>90</v>
      </c>
      <c r="F140" s="4"/>
    </row>
    <row r="141" spans="1:6" x14ac:dyDescent="0.25">
      <c r="A141" s="4"/>
      <c r="B141" s="4" t="s">
        <v>40</v>
      </c>
      <c r="C141" s="4">
        <v>495</v>
      </c>
      <c r="D141" s="4"/>
      <c r="E141" s="4" t="s">
        <v>40</v>
      </c>
      <c r="F141" s="4">
        <v>495</v>
      </c>
    </row>
    <row r="142" spans="1:6" ht="21" x14ac:dyDescent="0.25">
      <c r="A142" s="4"/>
      <c r="B142" s="4" t="s">
        <v>41</v>
      </c>
      <c r="C142" s="4">
        <v>743</v>
      </c>
      <c r="D142" s="4"/>
      <c r="E142" s="4" t="s">
        <v>41</v>
      </c>
      <c r="F142" s="4">
        <v>743</v>
      </c>
    </row>
    <row r="143" spans="1:6" x14ac:dyDescent="0.25">
      <c r="A143" s="4"/>
      <c r="B143" s="4" t="s">
        <v>42</v>
      </c>
      <c r="C143" s="4">
        <v>495</v>
      </c>
      <c r="D143" s="4"/>
      <c r="E143" s="4" t="s">
        <v>42</v>
      </c>
      <c r="F143" s="4">
        <v>1239</v>
      </c>
    </row>
    <row r="144" spans="1:6" x14ac:dyDescent="0.25">
      <c r="A144" s="4"/>
      <c r="B144" s="4" t="s">
        <v>43</v>
      </c>
      <c r="C144" s="4">
        <v>495</v>
      </c>
      <c r="D144" s="4"/>
      <c r="E144" s="4" t="s">
        <v>43</v>
      </c>
      <c r="F144" s="4">
        <v>1487</v>
      </c>
    </row>
    <row r="145" spans="1:6" x14ac:dyDescent="0.25">
      <c r="A145" s="4"/>
      <c r="B145" s="4" t="s">
        <v>44</v>
      </c>
      <c r="C145" s="4">
        <v>743</v>
      </c>
      <c r="D145" s="4"/>
      <c r="E145" s="4" t="s">
        <v>44</v>
      </c>
      <c r="F145" s="4">
        <v>1735</v>
      </c>
    </row>
    <row r="146" spans="1:6" ht="21" x14ac:dyDescent="0.25">
      <c r="A146" s="4">
        <v>49</v>
      </c>
      <c r="B146" s="3" t="s">
        <v>91</v>
      </c>
      <c r="C146" s="4"/>
      <c r="D146" s="4">
        <v>50</v>
      </c>
      <c r="E146" s="3" t="s">
        <v>92</v>
      </c>
      <c r="F146" s="4"/>
    </row>
    <row r="147" spans="1:6" x14ac:dyDescent="0.25">
      <c r="A147" s="4"/>
      <c r="B147" s="4" t="s">
        <v>40</v>
      </c>
      <c r="C147" s="4">
        <v>100</v>
      </c>
      <c r="D147" s="4"/>
      <c r="E147" s="4" t="s">
        <v>40</v>
      </c>
      <c r="F147" s="4">
        <v>100</v>
      </c>
    </row>
    <row r="148" spans="1:6" ht="21" x14ac:dyDescent="0.25">
      <c r="A148" s="4"/>
      <c r="B148" s="4" t="s">
        <v>41</v>
      </c>
      <c r="C148" s="4">
        <v>682</v>
      </c>
      <c r="D148" s="4"/>
      <c r="E148" s="4" t="s">
        <v>41</v>
      </c>
      <c r="F148" s="4">
        <v>247</v>
      </c>
    </row>
    <row r="149" spans="1:6" x14ac:dyDescent="0.25">
      <c r="A149" s="4"/>
      <c r="B149" s="4" t="s">
        <v>42</v>
      </c>
      <c r="C149" s="4">
        <v>1950</v>
      </c>
      <c r="D149" s="4"/>
      <c r="E149" s="4" t="s">
        <v>42</v>
      </c>
      <c r="F149" s="4">
        <v>495</v>
      </c>
    </row>
    <row r="150" spans="1:6" x14ac:dyDescent="0.25">
      <c r="A150" s="4"/>
      <c r="B150" s="4" t="s">
        <v>43</v>
      </c>
      <c r="C150" s="4">
        <v>3236</v>
      </c>
      <c r="D150" s="4"/>
      <c r="E150" s="4" t="s">
        <v>43</v>
      </c>
      <c r="F150" s="4">
        <v>495</v>
      </c>
    </row>
    <row r="151" spans="1:6" x14ac:dyDescent="0.25">
      <c r="A151" s="4"/>
      <c r="B151" s="4" t="s">
        <v>44</v>
      </c>
      <c r="C151" s="4">
        <v>1755</v>
      </c>
      <c r="D151" s="4"/>
      <c r="E151" s="4" t="s">
        <v>44</v>
      </c>
      <c r="F151" s="4">
        <v>743</v>
      </c>
    </row>
    <row r="152" spans="1:6" ht="31.5" x14ac:dyDescent="0.25">
      <c r="A152" s="4">
        <v>51</v>
      </c>
      <c r="B152" s="3" t="s">
        <v>93</v>
      </c>
      <c r="C152" s="4"/>
      <c r="D152" s="4">
        <v>52</v>
      </c>
      <c r="E152" s="3" t="s">
        <v>94</v>
      </c>
      <c r="F152" s="4"/>
    </row>
    <row r="153" spans="1:6" x14ac:dyDescent="0.25">
      <c r="A153" s="4"/>
      <c r="B153" s="4" t="s">
        <v>40</v>
      </c>
      <c r="C153" s="4">
        <v>1171</v>
      </c>
      <c r="D153" s="4"/>
      <c r="E153" s="4" t="s">
        <v>40</v>
      </c>
      <c r="F153" s="4">
        <v>991</v>
      </c>
    </row>
    <row r="154" spans="1:6" ht="21" x14ac:dyDescent="0.25">
      <c r="A154" s="4"/>
      <c r="B154" s="4" t="s">
        <v>41</v>
      </c>
      <c r="C154" s="4">
        <v>975</v>
      </c>
      <c r="D154" s="4"/>
      <c r="E154" s="4" t="s">
        <v>41</v>
      </c>
      <c r="F154" s="4">
        <v>743</v>
      </c>
    </row>
    <row r="155" spans="1:6" x14ac:dyDescent="0.25">
      <c r="A155" s="4"/>
      <c r="B155" s="4" t="s">
        <v>42</v>
      </c>
      <c r="C155" s="4">
        <v>877</v>
      </c>
      <c r="D155" s="4"/>
      <c r="E155" s="4" t="s">
        <v>42</v>
      </c>
      <c r="F155" s="4">
        <v>991</v>
      </c>
    </row>
    <row r="156" spans="1:6" x14ac:dyDescent="0.25">
      <c r="A156" s="4"/>
      <c r="B156" s="4" t="s">
        <v>43</v>
      </c>
      <c r="C156" s="4">
        <v>1267</v>
      </c>
      <c r="D156" s="4"/>
      <c r="E156" s="4" t="s">
        <v>43</v>
      </c>
      <c r="F156" s="4">
        <v>1983</v>
      </c>
    </row>
    <row r="157" spans="1:6" x14ac:dyDescent="0.25">
      <c r="A157" s="4"/>
      <c r="B157" s="4" t="s">
        <v>44</v>
      </c>
      <c r="C157" s="4">
        <v>2243</v>
      </c>
      <c r="D157" s="4"/>
      <c r="E157" s="4" t="s">
        <v>44</v>
      </c>
      <c r="F157" s="4">
        <v>2727</v>
      </c>
    </row>
    <row r="158" spans="1:6" ht="21" x14ac:dyDescent="0.25">
      <c r="A158" s="4">
        <v>53</v>
      </c>
      <c r="B158" s="3" t="s">
        <v>95</v>
      </c>
      <c r="C158" s="4"/>
      <c r="D158" s="4">
        <v>54</v>
      </c>
      <c r="E158" s="3" t="s">
        <v>96</v>
      </c>
      <c r="F158" s="4"/>
    </row>
    <row r="159" spans="1:6" x14ac:dyDescent="0.25">
      <c r="A159" s="4"/>
      <c r="B159" s="4" t="s">
        <v>40</v>
      </c>
      <c r="C159" s="4">
        <v>247</v>
      </c>
      <c r="D159" s="4"/>
      <c r="E159" s="4" t="s">
        <v>40</v>
      </c>
      <c r="F159" s="4">
        <v>495</v>
      </c>
    </row>
    <row r="160" spans="1:6" ht="21" x14ac:dyDescent="0.25">
      <c r="A160" s="4"/>
      <c r="B160" s="4" t="s">
        <v>41</v>
      </c>
      <c r="C160" s="4">
        <v>495</v>
      </c>
      <c r="D160" s="4"/>
      <c r="E160" s="4" t="s">
        <v>41</v>
      </c>
      <c r="F160" s="4">
        <v>100</v>
      </c>
    </row>
    <row r="161" spans="1:6" x14ac:dyDescent="0.25">
      <c r="A161" s="4"/>
      <c r="B161" s="4" t="s">
        <v>42</v>
      </c>
      <c r="C161" s="4">
        <v>495</v>
      </c>
      <c r="D161" s="4"/>
      <c r="E161" s="4" t="s">
        <v>42</v>
      </c>
      <c r="F161" s="4">
        <v>495</v>
      </c>
    </row>
    <row r="162" spans="1:6" x14ac:dyDescent="0.25">
      <c r="A162" s="4"/>
      <c r="B162" s="4" t="s">
        <v>43</v>
      </c>
      <c r="C162" s="4">
        <v>495</v>
      </c>
      <c r="D162" s="4"/>
      <c r="E162" s="4" t="s">
        <v>43</v>
      </c>
      <c r="F162" s="4">
        <v>495</v>
      </c>
    </row>
    <row r="163" spans="1:6" x14ac:dyDescent="0.25">
      <c r="A163" s="4"/>
      <c r="B163" s="4" t="s">
        <v>44</v>
      </c>
      <c r="C163" s="4">
        <v>1239</v>
      </c>
      <c r="D163" s="4"/>
      <c r="E163" s="4" t="s">
        <v>44</v>
      </c>
      <c r="F163" s="4">
        <v>743</v>
      </c>
    </row>
    <row r="164" spans="1:6" ht="31.5" x14ac:dyDescent="0.25">
      <c r="A164" s="4">
        <v>55</v>
      </c>
      <c r="B164" s="3" t="s">
        <v>97</v>
      </c>
      <c r="C164" s="4"/>
      <c r="D164" s="4">
        <v>56</v>
      </c>
      <c r="E164" s="3" t="s">
        <v>98</v>
      </c>
      <c r="F164" s="4"/>
    </row>
    <row r="165" spans="1:6" x14ac:dyDescent="0.25">
      <c r="A165" s="4"/>
      <c r="B165" s="4" t="s">
        <v>40</v>
      </c>
      <c r="C165" s="4">
        <v>100</v>
      </c>
      <c r="D165" s="4"/>
      <c r="E165" s="4" t="s">
        <v>40</v>
      </c>
      <c r="F165" s="4">
        <v>100</v>
      </c>
    </row>
    <row r="166" spans="1:6" ht="21" x14ac:dyDescent="0.25">
      <c r="A166" s="4"/>
      <c r="B166" s="4" t="s">
        <v>41</v>
      </c>
      <c r="C166" s="4">
        <v>495</v>
      </c>
      <c r="D166" s="4"/>
      <c r="E166" s="4" t="s">
        <v>41</v>
      </c>
      <c r="F166" s="4">
        <v>247</v>
      </c>
    </row>
    <row r="167" spans="1:6" x14ac:dyDescent="0.25">
      <c r="A167" s="4"/>
      <c r="B167" s="4" t="s">
        <v>42</v>
      </c>
      <c r="C167" s="4">
        <v>495</v>
      </c>
      <c r="D167" s="4"/>
      <c r="E167" s="4" t="s">
        <v>42</v>
      </c>
      <c r="F167" s="4">
        <v>495</v>
      </c>
    </row>
    <row r="168" spans="1:6" x14ac:dyDescent="0.25">
      <c r="A168" s="4"/>
      <c r="B168" s="4" t="s">
        <v>43</v>
      </c>
      <c r="C168" s="4">
        <v>247</v>
      </c>
      <c r="D168" s="4"/>
      <c r="E168" s="4" t="s">
        <v>43</v>
      </c>
      <c r="F168" s="4">
        <v>495</v>
      </c>
    </row>
    <row r="169" spans="1:6" x14ac:dyDescent="0.25">
      <c r="A169" s="4"/>
      <c r="B169" s="4" t="s">
        <v>44</v>
      </c>
      <c r="C169" s="4">
        <v>495</v>
      </c>
      <c r="D169" s="4"/>
      <c r="E169" s="4" t="s">
        <v>44</v>
      </c>
      <c r="F169" s="4">
        <v>495</v>
      </c>
    </row>
    <row r="170" spans="1:6" ht="21" x14ac:dyDescent="0.25">
      <c r="A170" s="4">
        <v>57</v>
      </c>
      <c r="B170" s="3" t="s">
        <v>99</v>
      </c>
      <c r="C170" s="4"/>
      <c r="D170" s="4">
        <v>58</v>
      </c>
      <c r="E170" s="3" t="s">
        <v>100</v>
      </c>
      <c r="F170" s="4"/>
    </row>
    <row r="171" spans="1:6" x14ac:dyDescent="0.25">
      <c r="A171" s="4"/>
      <c r="B171" s="4" t="s">
        <v>40</v>
      </c>
      <c r="C171" s="4">
        <v>495</v>
      </c>
      <c r="D171" s="4"/>
      <c r="E171" s="4" t="s">
        <v>40</v>
      </c>
      <c r="F171" s="4">
        <v>100</v>
      </c>
    </row>
    <row r="172" spans="1:6" ht="21" x14ac:dyDescent="0.25">
      <c r="A172" s="4"/>
      <c r="B172" s="4" t="s">
        <v>41</v>
      </c>
      <c r="C172" s="4">
        <v>495</v>
      </c>
      <c r="D172" s="4"/>
      <c r="E172" s="4" t="s">
        <v>41</v>
      </c>
      <c r="F172" s="4">
        <v>495</v>
      </c>
    </row>
    <row r="173" spans="1:6" x14ac:dyDescent="0.25">
      <c r="A173" s="4"/>
      <c r="B173" s="4" t="s">
        <v>42</v>
      </c>
      <c r="C173" s="4">
        <v>495</v>
      </c>
      <c r="D173" s="4"/>
      <c r="E173" s="4" t="s">
        <v>42</v>
      </c>
      <c r="F173" s="4">
        <v>743</v>
      </c>
    </row>
    <row r="174" spans="1:6" x14ac:dyDescent="0.25">
      <c r="A174" s="4"/>
      <c r="B174" s="4" t="s">
        <v>43</v>
      </c>
      <c r="C174" s="4">
        <v>495</v>
      </c>
      <c r="D174" s="4"/>
      <c r="E174" s="4" t="s">
        <v>43</v>
      </c>
      <c r="F174" s="4">
        <v>1743</v>
      </c>
    </row>
    <row r="175" spans="1:6" x14ac:dyDescent="0.25">
      <c r="A175" s="4"/>
      <c r="B175" s="4" t="s">
        <v>44</v>
      </c>
      <c r="C175" s="4">
        <v>495</v>
      </c>
      <c r="D175" s="4"/>
      <c r="E175" s="4" t="s">
        <v>44</v>
      </c>
      <c r="F175" s="4">
        <v>2231</v>
      </c>
    </row>
    <row r="176" spans="1:6" ht="21" x14ac:dyDescent="0.25">
      <c r="A176" s="4">
        <v>59</v>
      </c>
      <c r="B176" s="3" t="s">
        <v>101</v>
      </c>
      <c r="C176" s="4"/>
      <c r="D176" s="4">
        <v>60</v>
      </c>
      <c r="E176" s="3" t="s">
        <v>102</v>
      </c>
      <c r="F176" s="4"/>
    </row>
    <row r="177" spans="1:6" x14ac:dyDescent="0.25">
      <c r="A177" s="4"/>
      <c r="B177" s="4" t="s">
        <v>40</v>
      </c>
      <c r="C177" s="4">
        <v>247</v>
      </c>
      <c r="D177" s="4"/>
      <c r="E177" s="4" t="s">
        <v>40</v>
      </c>
      <c r="F177" s="4">
        <v>1487</v>
      </c>
    </row>
    <row r="178" spans="1:6" ht="21" x14ac:dyDescent="0.25">
      <c r="A178" s="4"/>
      <c r="B178" s="4" t="s">
        <v>41</v>
      </c>
      <c r="C178" s="4">
        <v>100</v>
      </c>
      <c r="D178" s="4"/>
      <c r="E178" s="4" t="s">
        <v>41</v>
      </c>
      <c r="F178" s="4">
        <v>495</v>
      </c>
    </row>
    <row r="179" spans="1:6" x14ac:dyDescent="0.25">
      <c r="A179" s="4"/>
      <c r="B179" s="4" t="s">
        <v>42</v>
      </c>
      <c r="C179" s="4">
        <v>100</v>
      </c>
      <c r="D179" s="4"/>
      <c r="E179" s="4" t="s">
        <v>42</v>
      </c>
      <c r="F179" s="4">
        <v>495</v>
      </c>
    </row>
    <row r="180" spans="1:6" x14ac:dyDescent="0.25">
      <c r="A180" s="4"/>
      <c r="B180" s="4" t="s">
        <v>43</v>
      </c>
      <c r="C180" s="4">
        <v>495</v>
      </c>
      <c r="D180" s="4"/>
      <c r="E180" s="4" t="s">
        <v>43</v>
      </c>
      <c r="F180" s="4">
        <v>991</v>
      </c>
    </row>
    <row r="181" spans="1:6" x14ac:dyDescent="0.25">
      <c r="A181" s="4"/>
      <c r="B181" s="4" t="s">
        <v>44</v>
      </c>
      <c r="C181" s="4">
        <v>100</v>
      </c>
      <c r="D181" s="4"/>
      <c r="E181" s="4" t="s">
        <v>44</v>
      </c>
      <c r="F181" s="4">
        <v>743</v>
      </c>
    </row>
    <row r="182" spans="1:6" ht="21" x14ac:dyDescent="0.25">
      <c r="A182" s="4">
        <v>61</v>
      </c>
      <c r="B182" s="3" t="s">
        <v>103</v>
      </c>
      <c r="C182" s="4"/>
      <c r="D182" s="4">
        <v>62</v>
      </c>
      <c r="E182" s="3" t="s">
        <v>104</v>
      </c>
      <c r="F182" s="4"/>
    </row>
    <row r="183" spans="1:6" x14ac:dyDescent="0.25">
      <c r="A183" s="4"/>
      <c r="B183" s="4" t="s">
        <v>40</v>
      </c>
      <c r="C183" s="4">
        <v>495</v>
      </c>
      <c r="D183" s="4"/>
      <c r="E183" s="4" t="s">
        <v>40</v>
      </c>
      <c r="F183" s="4">
        <v>743</v>
      </c>
    </row>
    <row r="184" spans="1:6" ht="21" x14ac:dyDescent="0.25">
      <c r="A184" s="4"/>
      <c r="B184" s="4" t="s">
        <v>41</v>
      </c>
      <c r="C184" s="4">
        <v>1487</v>
      </c>
      <c r="D184" s="4"/>
      <c r="E184" s="4" t="s">
        <v>41</v>
      </c>
      <c r="F184" s="4">
        <v>100</v>
      </c>
    </row>
    <row r="185" spans="1:6" x14ac:dyDescent="0.25">
      <c r="A185" s="4"/>
      <c r="B185" s="4" t="s">
        <v>42</v>
      </c>
      <c r="C185" s="4">
        <v>1735</v>
      </c>
      <c r="D185" s="4"/>
      <c r="E185" s="4" t="s">
        <v>42</v>
      </c>
      <c r="F185" s="4">
        <v>100</v>
      </c>
    </row>
    <row r="186" spans="1:6" x14ac:dyDescent="0.25">
      <c r="A186" s="4"/>
      <c r="B186" s="4" t="s">
        <v>43</v>
      </c>
      <c r="C186" s="4">
        <v>1983</v>
      </c>
      <c r="D186" s="4"/>
      <c r="E186" s="4" t="s">
        <v>43</v>
      </c>
      <c r="F186" s="4">
        <v>247</v>
      </c>
    </row>
    <row r="187" spans="1:6" x14ac:dyDescent="0.25">
      <c r="A187" s="4"/>
      <c r="B187" s="4" t="s">
        <v>44</v>
      </c>
      <c r="C187" s="4">
        <v>2727</v>
      </c>
      <c r="D187" s="4"/>
      <c r="E187" s="4" t="s">
        <v>44</v>
      </c>
      <c r="F187" s="4">
        <v>495</v>
      </c>
    </row>
    <row r="188" spans="1:6" ht="21" x14ac:dyDescent="0.25">
      <c r="A188" s="4">
        <v>63</v>
      </c>
      <c r="B188" s="3" t="s">
        <v>105</v>
      </c>
      <c r="C188" s="4"/>
      <c r="D188" s="4">
        <v>64</v>
      </c>
      <c r="E188" s="3" t="s">
        <v>106</v>
      </c>
      <c r="F188" s="4"/>
    </row>
    <row r="189" spans="1:6" x14ac:dyDescent="0.25">
      <c r="A189" s="4"/>
      <c r="B189" s="4" t="s">
        <v>40</v>
      </c>
      <c r="C189" s="4">
        <v>495</v>
      </c>
      <c r="D189" s="4"/>
      <c r="E189" s="4" t="s">
        <v>40</v>
      </c>
      <c r="F189" s="4">
        <v>1239</v>
      </c>
    </row>
    <row r="190" spans="1:6" ht="21" x14ac:dyDescent="0.25">
      <c r="A190" s="4"/>
      <c r="B190" s="4" t="s">
        <v>41</v>
      </c>
      <c r="C190" s="4">
        <v>1239</v>
      </c>
      <c r="D190" s="4"/>
      <c r="E190" s="4" t="s">
        <v>41</v>
      </c>
      <c r="F190" s="4">
        <v>100</v>
      </c>
    </row>
    <row r="191" spans="1:6" x14ac:dyDescent="0.25">
      <c r="A191" s="4"/>
      <c r="B191" s="4" t="s">
        <v>42</v>
      </c>
      <c r="C191" s="4">
        <v>2231</v>
      </c>
      <c r="D191" s="4"/>
      <c r="E191" s="4" t="s">
        <v>42</v>
      </c>
      <c r="F191" s="4">
        <v>100</v>
      </c>
    </row>
    <row r="192" spans="1:6" x14ac:dyDescent="0.25">
      <c r="A192" s="4"/>
      <c r="B192" s="4" t="s">
        <v>43</v>
      </c>
      <c r="C192" s="4">
        <v>2727</v>
      </c>
      <c r="D192" s="4"/>
      <c r="E192" s="4" t="s">
        <v>43</v>
      </c>
      <c r="F192" s="4">
        <v>991</v>
      </c>
    </row>
    <row r="193" spans="1:6" x14ac:dyDescent="0.25">
      <c r="A193" s="4"/>
      <c r="B193" s="4" t="s">
        <v>44</v>
      </c>
      <c r="C193" s="4">
        <v>3470</v>
      </c>
      <c r="D193" s="4"/>
      <c r="E193" s="4" t="s">
        <v>44</v>
      </c>
      <c r="F193" s="4">
        <v>495</v>
      </c>
    </row>
    <row r="194" spans="1:6" ht="21" x14ac:dyDescent="0.25">
      <c r="A194" s="4">
        <v>65</v>
      </c>
      <c r="B194" s="3" t="s">
        <v>107</v>
      </c>
      <c r="C194" s="4"/>
      <c r="D194" s="4">
        <v>66</v>
      </c>
      <c r="E194" s="3" t="s">
        <v>108</v>
      </c>
      <c r="F194" s="4"/>
    </row>
    <row r="195" spans="1:6" x14ac:dyDescent="0.25">
      <c r="A195" s="4"/>
      <c r="B195" s="4" t="s">
        <v>40</v>
      </c>
      <c r="C195" s="4">
        <v>247</v>
      </c>
      <c r="D195" s="4"/>
      <c r="E195" s="4" t="s">
        <v>40</v>
      </c>
      <c r="F195" s="4">
        <v>991</v>
      </c>
    </row>
    <row r="196" spans="1:6" ht="21" x14ac:dyDescent="0.25">
      <c r="A196" s="4"/>
      <c r="B196" s="4" t="s">
        <v>41</v>
      </c>
      <c r="C196" s="4">
        <v>100</v>
      </c>
      <c r="D196" s="4"/>
      <c r="E196" s="4" t="s">
        <v>41</v>
      </c>
      <c r="F196" s="4">
        <v>495</v>
      </c>
    </row>
    <row r="197" spans="1:6" x14ac:dyDescent="0.25">
      <c r="A197" s="4"/>
      <c r="B197" s="4" t="s">
        <v>42</v>
      </c>
      <c r="C197" s="4">
        <v>991</v>
      </c>
      <c r="D197" s="4"/>
      <c r="E197" s="4" t="s">
        <v>42</v>
      </c>
      <c r="F197" s="4">
        <v>495</v>
      </c>
    </row>
    <row r="198" spans="1:6" x14ac:dyDescent="0.25">
      <c r="A198" s="4"/>
      <c r="B198" s="4" t="s">
        <v>43</v>
      </c>
      <c r="C198" s="4">
        <v>1239</v>
      </c>
      <c r="D198" s="4"/>
      <c r="E198" s="4" t="s">
        <v>43</v>
      </c>
      <c r="F198" s="4">
        <v>495</v>
      </c>
    </row>
    <row r="199" spans="1:6" x14ac:dyDescent="0.25">
      <c r="A199" s="4"/>
      <c r="B199" s="4" t="s">
        <v>44</v>
      </c>
      <c r="C199" s="4">
        <v>1487</v>
      </c>
      <c r="D199" s="4"/>
      <c r="E199" s="4" t="s">
        <v>44</v>
      </c>
      <c r="F199" s="4">
        <v>1487</v>
      </c>
    </row>
    <row r="200" spans="1:6" ht="21" x14ac:dyDescent="0.25">
      <c r="A200" s="4">
        <v>67</v>
      </c>
      <c r="B200" s="3" t="s">
        <v>109</v>
      </c>
      <c r="C200" s="4"/>
      <c r="D200" s="4">
        <v>68</v>
      </c>
      <c r="E200" s="3" t="s">
        <v>110</v>
      </c>
      <c r="F200" s="4"/>
    </row>
    <row r="201" spans="1:6" x14ac:dyDescent="0.25">
      <c r="A201" s="4"/>
      <c r="B201" s="4" t="s">
        <v>40</v>
      </c>
      <c r="C201" s="4">
        <v>910</v>
      </c>
      <c r="D201" s="4"/>
      <c r="E201" s="4" t="s">
        <v>40</v>
      </c>
      <c r="F201" s="4">
        <v>743</v>
      </c>
    </row>
    <row r="202" spans="1:6" ht="21" x14ac:dyDescent="0.25">
      <c r="A202" s="4"/>
      <c r="B202" s="4" t="s">
        <v>41</v>
      </c>
      <c r="C202" s="4">
        <v>910</v>
      </c>
      <c r="D202" s="4"/>
      <c r="E202" s="4" t="s">
        <v>41</v>
      </c>
      <c r="F202" s="4">
        <v>1080</v>
      </c>
    </row>
    <row r="203" spans="1:6" x14ac:dyDescent="0.25">
      <c r="A203" s="4"/>
      <c r="B203" s="4" t="s">
        <v>42</v>
      </c>
      <c r="C203" s="4">
        <v>910</v>
      </c>
      <c r="D203" s="4"/>
      <c r="E203" s="4" t="s">
        <v>42</v>
      </c>
      <c r="F203" s="4">
        <v>900</v>
      </c>
    </row>
    <row r="204" spans="1:6" x14ac:dyDescent="0.25">
      <c r="A204" s="4"/>
      <c r="B204" s="4" t="s">
        <v>43</v>
      </c>
      <c r="C204" s="4">
        <v>991</v>
      </c>
      <c r="D204" s="4"/>
      <c r="E204" s="4" t="s">
        <v>43</v>
      </c>
      <c r="F204" s="4">
        <v>1080</v>
      </c>
    </row>
    <row r="205" spans="1:6" x14ac:dyDescent="0.25">
      <c r="A205" s="4"/>
      <c r="B205" s="4" t="s">
        <v>44</v>
      </c>
      <c r="C205" s="4">
        <v>991</v>
      </c>
      <c r="D205" s="4"/>
      <c r="E205" s="4" t="s">
        <v>44</v>
      </c>
      <c r="F205" s="4">
        <v>1080</v>
      </c>
    </row>
    <row r="206" spans="1:6" ht="31.5" x14ac:dyDescent="0.25">
      <c r="A206" s="4">
        <v>69</v>
      </c>
      <c r="B206" s="3" t="s">
        <v>111</v>
      </c>
      <c r="C206" s="4"/>
      <c r="D206" s="4">
        <v>70</v>
      </c>
      <c r="E206" s="3" t="s">
        <v>112</v>
      </c>
      <c r="F206" s="4"/>
    </row>
    <row r="207" spans="1:6" x14ac:dyDescent="0.25">
      <c r="A207" s="4"/>
      <c r="B207" s="4" t="s">
        <v>40</v>
      </c>
      <c r="C207" s="4">
        <v>495</v>
      </c>
      <c r="D207" s="4"/>
      <c r="E207" s="4" t="s">
        <v>40</v>
      </c>
      <c r="F207" s="4">
        <v>991</v>
      </c>
    </row>
    <row r="208" spans="1:6" ht="21" x14ac:dyDescent="0.25">
      <c r="A208" s="4"/>
      <c r="B208" s="4" t="s">
        <v>41</v>
      </c>
      <c r="C208" s="4">
        <v>100</v>
      </c>
      <c r="D208" s="4"/>
      <c r="E208" s="4" t="s">
        <v>41</v>
      </c>
      <c r="F208" s="4">
        <v>991</v>
      </c>
    </row>
    <row r="209" spans="1:6" x14ac:dyDescent="0.25">
      <c r="A209" s="4"/>
      <c r="B209" s="4" t="s">
        <v>42</v>
      </c>
      <c r="C209" s="4">
        <v>100</v>
      </c>
      <c r="D209" s="4"/>
      <c r="E209" s="4" t="s">
        <v>42</v>
      </c>
      <c r="F209" s="4">
        <v>1487</v>
      </c>
    </row>
    <row r="210" spans="1:6" x14ac:dyDescent="0.25">
      <c r="A210" s="4"/>
      <c r="B210" s="4" t="s">
        <v>43</v>
      </c>
      <c r="C210" s="4">
        <v>247</v>
      </c>
      <c r="D210" s="4"/>
      <c r="E210" s="4" t="s">
        <v>43</v>
      </c>
      <c r="F210" s="4">
        <v>2479</v>
      </c>
    </row>
    <row r="211" spans="1:6" x14ac:dyDescent="0.25">
      <c r="A211" s="4"/>
      <c r="B211" s="4" t="s">
        <v>44</v>
      </c>
      <c r="C211" s="4">
        <v>100</v>
      </c>
      <c r="D211" s="4"/>
      <c r="E211" s="4" t="s">
        <v>44</v>
      </c>
      <c r="F211" s="4">
        <v>2479</v>
      </c>
    </row>
    <row r="212" spans="1:6" ht="21" x14ac:dyDescent="0.25">
      <c r="A212" s="4">
        <v>71</v>
      </c>
      <c r="B212" s="3" t="s">
        <v>113</v>
      </c>
      <c r="C212" s="4"/>
      <c r="D212" s="4">
        <v>72</v>
      </c>
      <c r="E212" s="3" t="s">
        <v>114</v>
      </c>
      <c r="F212" s="4"/>
    </row>
    <row r="213" spans="1:6" x14ac:dyDescent="0.25">
      <c r="A213" s="4"/>
      <c r="B213" s="4" t="s">
        <v>40</v>
      </c>
      <c r="C213" s="4">
        <v>1487</v>
      </c>
      <c r="D213" s="4"/>
      <c r="E213" s="4" t="s">
        <v>40</v>
      </c>
      <c r="F213" s="4">
        <v>743</v>
      </c>
    </row>
    <row r="214" spans="1:6" ht="21" x14ac:dyDescent="0.25">
      <c r="A214" s="4"/>
      <c r="B214" s="4" t="s">
        <v>41</v>
      </c>
      <c r="C214" s="4">
        <v>1487</v>
      </c>
      <c r="D214" s="4"/>
      <c r="E214" s="4" t="s">
        <v>41</v>
      </c>
      <c r="F214" s="4">
        <v>743</v>
      </c>
    </row>
    <row r="215" spans="1:6" x14ac:dyDescent="0.25">
      <c r="A215" s="4"/>
      <c r="B215" s="4" t="s">
        <v>42</v>
      </c>
      <c r="C215" s="4">
        <v>2231</v>
      </c>
      <c r="D215" s="4"/>
      <c r="E215" s="4" t="s">
        <v>42</v>
      </c>
      <c r="F215" s="4">
        <v>743</v>
      </c>
    </row>
    <row r="216" spans="1:6" x14ac:dyDescent="0.25">
      <c r="A216" s="4"/>
      <c r="B216" s="4" t="s">
        <v>43</v>
      </c>
      <c r="C216" s="4">
        <v>1487</v>
      </c>
      <c r="D216" s="4"/>
      <c r="E216" s="4" t="s">
        <v>43</v>
      </c>
      <c r="F216" s="4">
        <v>1239</v>
      </c>
    </row>
    <row r="217" spans="1:6" x14ac:dyDescent="0.25">
      <c r="A217" s="4"/>
      <c r="B217" s="4" t="s">
        <v>44</v>
      </c>
      <c r="C217" s="4">
        <v>1487</v>
      </c>
      <c r="D217" s="4"/>
      <c r="E217" s="4" t="s">
        <v>44</v>
      </c>
      <c r="F217" s="4">
        <v>1735</v>
      </c>
    </row>
    <row r="218" spans="1:6" ht="21" x14ac:dyDescent="0.25">
      <c r="A218" s="4">
        <v>73</v>
      </c>
      <c r="B218" s="3" t="s">
        <v>115</v>
      </c>
      <c r="C218" s="4"/>
      <c r="D218" s="4">
        <v>74</v>
      </c>
      <c r="E218" s="3" t="s">
        <v>116</v>
      </c>
      <c r="F218" s="4"/>
    </row>
    <row r="219" spans="1:6" x14ac:dyDescent="0.25">
      <c r="A219" s="4"/>
      <c r="B219" s="4" t="s">
        <v>40</v>
      </c>
      <c r="C219" s="4">
        <v>743</v>
      </c>
      <c r="D219" s="4"/>
      <c r="E219" s="4" t="s">
        <v>40</v>
      </c>
      <c r="F219" s="4">
        <v>1300</v>
      </c>
    </row>
    <row r="220" spans="1:6" ht="21" x14ac:dyDescent="0.25">
      <c r="A220" s="4"/>
      <c r="B220" s="4" t="s">
        <v>41</v>
      </c>
      <c r="C220" s="4">
        <v>1239</v>
      </c>
      <c r="D220" s="4"/>
      <c r="E220" s="4" t="s">
        <v>41</v>
      </c>
      <c r="F220" s="4">
        <v>1300</v>
      </c>
    </row>
    <row r="221" spans="1:6" x14ac:dyDescent="0.25">
      <c r="A221" s="4"/>
      <c r="B221" s="4" t="s">
        <v>42</v>
      </c>
      <c r="C221" s="4">
        <v>991</v>
      </c>
      <c r="D221" s="4"/>
      <c r="E221" s="4" t="s">
        <v>42</v>
      </c>
      <c r="F221" s="4">
        <v>1200</v>
      </c>
    </row>
    <row r="222" spans="1:6" x14ac:dyDescent="0.25">
      <c r="A222" s="4"/>
      <c r="B222" s="4" t="s">
        <v>43</v>
      </c>
      <c r="C222" s="4">
        <v>743</v>
      </c>
      <c r="D222" s="4"/>
      <c r="E222" s="4" t="s">
        <v>43</v>
      </c>
      <c r="F222" s="4">
        <v>3223</v>
      </c>
    </row>
    <row r="223" spans="1:6" x14ac:dyDescent="0.25">
      <c r="A223" s="4"/>
      <c r="B223" s="4" t="s">
        <v>44</v>
      </c>
      <c r="C223" s="4">
        <v>1239</v>
      </c>
      <c r="D223" s="4"/>
      <c r="E223" s="4" t="s">
        <v>44</v>
      </c>
      <c r="F223" s="4">
        <v>3290</v>
      </c>
    </row>
    <row r="224" spans="1:6" ht="21" x14ac:dyDescent="0.25">
      <c r="A224" s="4">
        <v>75</v>
      </c>
      <c r="B224" s="3" t="s">
        <v>117</v>
      </c>
      <c r="C224" s="4"/>
      <c r="D224" s="4">
        <v>76</v>
      </c>
      <c r="E224" s="3" t="s">
        <v>118</v>
      </c>
      <c r="F224" s="4"/>
    </row>
    <row r="225" spans="1:6" x14ac:dyDescent="0.25">
      <c r="A225" s="4"/>
      <c r="B225" s="4" t="s">
        <v>40</v>
      </c>
      <c r="C225" s="4">
        <v>743</v>
      </c>
      <c r="D225" s="4"/>
      <c r="E225" s="4" t="s">
        <v>40</v>
      </c>
      <c r="F225" s="4">
        <v>247</v>
      </c>
    </row>
    <row r="226" spans="1:6" ht="21" x14ac:dyDescent="0.25">
      <c r="A226" s="4"/>
      <c r="B226" s="4" t="s">
        <v>41</v>
      </c>
      <c r="C226" s="4">
        <v>1239</v>
      </c>
      <c r="D226" s="4"/>
      <c r="E226" s="4" t="s">
        <v>41</v>
      </c>
      <c r="F226" s="4">
        <v>495</v>
      </c>
    </row>
    <row r="227" spans="1:6" x14ac:dyDescent="0.25">
      <c r="A227" s="4"/>
      <c r="B227" s="4" t="s">
        <v>42</v>
      </c>
      <c r="C227" s="4">
        <v>743</v>
      </c>
      <c r="D227" s="4"/>
      <c r="E227" s="4" t="s">
        <v>42</v>
      </c>
      <c r="F227" s="4">
        <v>495</v>
      </c>
    </row>
    <row r="228" spans="1:6" x14ac:dyDescent="0.25">
      <c r="A228" s="4"/>
      <c r="B228" s="4" t="s">
        <v>43</v>
      </c>
      <c r="C228" s="4">
        <v>1239</v>
      </c>
      <c r="D228" s="4"/>
      <c r="E228" s="4" t="s">
        <v>43</v>
      </c>
      <c r="F228" s="4">
        <v>495</v>
      </c>
    </row>
    <row r="229" spans="1:6" x14ac:dyDescent="0.25">
      <c r="A229" s="4"/>
      <c r="B229" s="4" t="s">
        <v>44</v>
      </c>
      <c r="C229" s="4">
        <v>1487</v>
      </c>
      <c r="D229" s="4"/>
      <c r="E229" s="4" t="s">
        <v>44</v>
      </c>
      <c r="F229" s="4">
        <v>743</v>
      </c>
    </row>
    <row r="230" spans="1:6" ht="31.5" x14ac:dyDescent="0.25">
      <c r="A230" s="4">
        <v>77</v>
      </c>
      <c r="B230" s="3" t="s">
        <v>119</v>
      </c>
      <c r="C230" s="4"/>
      <c r="D230" s="4">
        <v>78</v>
      </c>
      <c r="E230" s="3" t="s">
        <v>120</v>
      </c>
      <c r="F230" s="4"/>
    </row>
    <row r="231" spans="1:6" x14ac:dyDescent="0.25">
      <c r="A231" s="4"/>
      <c r="B231" s="4" t="s">
        <v>40</v>
      </c>
      <c r="C231" s="4">
        <v>743</v>
      </c>
      <c r="D231" s="4"/>
      <c r="E231" s="4" t="s">
        <v>40</v>
      </c>
      <c r="F231" s="4">
        <v>100</v>
      </c>
    </row>
    <row r="232" spans="1:6" ht="21" x14ac:dyDescent="0.25">
      <c r="A232" s="4"/>
      <c r="B232" s="4" t="s">
        <v>41</v>
      </c>
      <c r="C232" s="4">
        <v>743</v>
      </c>
      <c r="D232" s="4"/>
      <c r="E232" s="4" t="s">
        <v>41</v>
      </c>
      <c r="F232" s="4">
        <v>495</v>
      </c>
    </row>
    <row r="233" spans="1:6" x14ac:dyDescent="0.25">
      <c r="A233" s="4"/>
      <c r="B233" s="4" t="s">
        <v>42</v>
      </c>
      <c r="C233" s="4">
        <v>743</v>
      </c>
      <c r="D233" s="4"/>
      <c r="E233" s="4" t="s">
        <v>42</v>
      </c>
      <c r="F233" s="4">
        <v>495</v>
      </c>
    </row>
    <row r="234" spans="1:6" x14ac:dyDescent="0.25">
      <c r="A234" s="4"/>
      <c r="B234" s="4" t="s">
        <v>43</v>
      </c>
      <c r="C234" s="4">
        <v>1487</v>
      </c>
      <c r="D234" s="4"/>
      <c r="E234" s="4" t="s">
        <v>43</v>
      </c>
      <c r="F234" s="4">
        <v>495</v>
      </c>
    </row>
    <row r="235" spans="1:6" x14ac:dyDescent="0.25">
      <c r="A235" s="4"/>
      <c r="B235" s="4" t="s">
        <v>44</v>
      </c>
      <c r="C235" s="4">
        <v>1735</v>
      </c>
      <c r="D235" s="4"/>
      <c r="E235" s="4" t="s">
        <v>44</v>
      </c>
      <c r="F235" s="4">
        <v>495</v>
      </c>
    </row>
    <row r="236" spans="1:6" ht="21" x14ac:dyDescent="0.25">
      <c r="A236" s="4">
        <v>79</v>
      </c>
      <c r="B236" s="3" t="s">
        <v>121</v>
      </c>
      <c r="C236" s="4"/>
      <c r="D236" s="4">
        <v>80</v>
      </c>
      <c r="E236" s="3" t="s">
        <v>122</v>
      </c>
      <c r="F236" s="4"/>
    </row>
    <row r="237" spans="1:6" x14ac:dyDescent="0.25">
      <c r="A237" s="4"/>
      <c r="B237" s="4" t="s">
        <v>40</v>
      </c>
      <c r="C237" s="4">
        <v>495</v>
      </c>
      <c r="D237" s="4"/>
      <c r="E237" s="4" t="s">
        <v>40</v>
      </c>
      <c r="F237" s="4">
        <v>100</v>
      </c>
    </row>
    <row r="238" spans="1:6" ht="21" x14ac:dyDescent="0.25">
      <c r="A238" s="4"/>
      <c r="B238" s="4" t="s">
        <v>41</v>
      </c>
      <c r="C238" s="4">
        <v>495</v>
      </c>
      <c r="D238" s="4"/>
      <c r="E238" s="4" t="s">
        <v>41</v>
      </c>
      <c r="F238" s="4">
        <v>100</v>
      </c>
    </row>
    <row r="239" spans="1:6" x14ac:dyDescent="0.25">
      <c r="A239" s="4"/>
      <c r="B239" s="4" t="s">
        <v>42</v>
      </c>
      <c r="C239" s="4">
        <v>450</v>
      </c>
      <c r="D239" s="4"/>
      <c r="E239" s="4" t="s">
        <v>42</v>
      </c>
      <c r="F239" s="4">
        <v>618</v>
      </c>
    </row>
    <row r="240" spans="1:6" x14ac:dyDescent="0.25">
      <c r="A240" s="4"/>
      <c r="B240" s="4" t="s">
        <v>43</v>
      </c>
      <c r="C240" s="4">
        <v>495</v>
      </c>
      <c r="D240" s="4"/>
      <c r="E240" s="4" t="s">
        <v>43</v>
      </c>
      <c r="F240" s="4">
        <v>618</v>
      </c>
    </row>
    <row r="241" spans="1:6" x14ac:dyDescent="0.25">
      <c r="A241" s="4"/>
      <c r="B241" s="4" t="s">
        <v>44</v>
      </c>
      <c r="C241" s="4">
        <v>495</v>
      </c>
      <c r="D241" s="4"/>
      <c r="E241" s="4" t="s">
        <v>44</v>
      </c>
      <c r="F241" s="4">
        <v>927</v>
      </c>
    </row>
    <row r="242" spans="1:6" ht="31.5" x14ac:dyDescent="0.25">
      <c r="A242" s="4">
        <v>81</v>
      </c>
      <c r="B242" s="3" t="s">
        <v>123</v>
      </c>
      <c r="C242" s="4"/>
      <c r="D242" s="4">
        <v>82</v>
      </c>
      <c r="E242" s="3" t="s">
        <v>124</v>
      </c>
      <c r="F242" s="4"/>
    </row>
    <row r="243" spans="1:6" x14ac:dyDescent="0.25">
      <c r="A243" s="4"/>
      <c r="B243" s="4" t="s">
        <v>40</v>
      </c>
      <c r="C243" s="4">
        <v>100</v>
      </c>
      <c r="D243" s="4"/>
      <c r="E243" s="4" t="s">
        <v>40</v>
      </c>
      <c r="F243" s="4">
        <v>1560</v>
      </c>
    </row>
    <row r="244" spans="1:6" ht="21" x14ac:dyDescent="0.25">
      <c r="A244" s="4"/>
      <c r="B244" s="4" t="s">
        <v>41</v>
      </c>
      <c r="C244" s="4">
        <v>100</v>
      </c>
      <c r="D244" s="4"/>
      <c r="E244" s="4" t="s">
        <v>41</v>
      </c>
      <c r="F244" s="4">
        <v>1487</v>
      </c>
    </row>
    <row r="245" spans="1:6" x14ac:dyDescent="0.25">
      <c r="A245" s="4"/>
      <c r="B245" s="4" t="s">
        <v>42</v>
      </c>
      <c r="C245" s="4">
        <v>495</v>
      </c>
      <c r="D245" s="4"/>
      <c r="E245" s="4" t="s">
        <v>42</v>
      </c>
      <c r="F245" s="4">
        <v>1487</v>
      </c>
    </row>
    <row r="246" spans="1:6" x14ac:dyDescent="0.25">
      <c r="A246" s="4"/>
      <c r="B246" s="4" t="s">
        <v>43</v>
      </c>
      <c r="C246" s="4">
        <v>495</v>
      </c>
      <c r="D246" s="4"/>
      <c r="E246" s="4" t="s">
        <v>43</v>
      </c>
      <c r="F246" s="4">
        <v>2076</v>
      </c>
    </row>
    <row r="247" spans="1:6" x14ac:dyDescent="0.25">
      <c r="A247" s="4"/>
      <c r="B247" s="4" t="s">
        <v>44</v>
      </c>
      <c r="C247" s="4">
        <v>495</v>
      </c>
      <c r="D247" s="4"/>
      <c r="E247" s="4" t="s">
        <v>44</v>
      </c>
      <c r="F247" s="4">
        <v>2600</v>
      </c>
    </row>
    <row r="248" spans="1:6" x14ac:dyDescent="0.25">
      <c r="A248" s="4">
        <v>83</v>
      </c>
      <c r="B248" s="3" t="s">
        <v>125</v>
      </c>
      <c r="C248" s="4"/>
      <c r="D248" s="4">
        <v>84</v>
      </c>
      <c r="E248" s="3" t="s">
        <v>126</v>
      </c>
      <c r="F248" s="4"/>
    </row>
    <row r="249" spans="1:6" x14ac:dyDescent="0.25">
      <c r="A249" s="4"/>
      <c r="B249" s="4" t="s">
        <v>40</v>
      </c>
      <c r="C249" s="4">
        <v>495</v>
      </c>
      <c r="D249" s="4"/>
      <c r="E249" s="4" t="s">
        <v>40</v>
      </c>
      <c r="F249" s="4">
        <v>247</v>
      </c>
    </row>
    <row r="250" spans="1:6" ht="21" x14ac:dyDescent="0.25">
      <c r="A250" s="4"/>
      <c r="B250" s="4" t="s">
        <v>41</v>
      </c>
      <c r="C250" s="4">
        <v>247</v>
      </c>
      <c r="D250" s="4"/>
      <c r="E250" s="4" t="s">
        <v>41</v>
      </c>
      <c r="F250" s="4">
        <v>247</v>
      </c>
    </row>
    <row r="251" spans="1:6" x14ac:dyDescent="0.25">
      <c r="A251" s="4"/>
      <c r="B251" s="4" t="s">
        <v>42</v>
      </c>
      <c r="C251" s="4">
        <v>247</v>
      </c>
      <c r="D251" s="4"/>
      <c r="E251" s="4" t="s">
        <v>42</v>
      </c>
      <c r="F251" s="4">
        <v>247</v>
      </c>
    </row>
    <row r="252" spans="1:6" x14ac:dyDescent="0.25">
      <c r="A252" s="4"/>
      <c r="B252" s="4" t="s">
        <v>43</v>
      </c>
      <c r="C252" s="4">
        <v>247</v>
      </c>
      <c r="D252" s="4"/>
      <c r="E252" s="4" t="s">
        <v>43</v>
      </c>
      <c r="F252" s="4">
        <v>743</v>
      </c>
    </row>
    <row r="253" spans="1:6" x14ac:dyDescent="0.25">
      <c r="A253" s="4"/>
      <c r="B253" s="4" t="s">
        <v>44</v>
      </c>
      <c r="C253" s="4">
        <v>247</v>
      </c>
      <c r="D253" s="4"/>
      <c r="E253" s="4" t="s">
        <v>44</v>
      </c>
      <c r="F253" s="4">
        <v>495</v>
      </c>
    </row>
    <row r="254" spans="1:6" ht="21" x14ac:dyDescent="0.25">
      <c r="A254" s="4">
        <v>85</v>
      </c>
      <c r="B254" s="3" t="s">
        <v>127</v>
      </c>
      <c r="C254" s="4"/>
      <c r="D254" s="4">
        <v>86</v>
      </c>
      <c r="E254" s="3" t="s">
        <v>128</v>
      </c>
      <c r="F254" s="4"/>
    </row>
    <row r="255" spans="1:6" x14ac:dyDescent="0.25">
      <c r="A255" s="4"/>
      <c r="B255" s="4" t="s">
        <v>40</v>
      </c>
      <c r="C255" s="4">
        <v>991</v>
      </c>
      <c r="D255" s="4"/>
      <c r="E255" s="4" t="s">
        <v>40</v>
      </c>
      <c r="F255" s="4">
        <v>606</v>
      </c>
    </row>
    <row r="256" spans="1:6" ht="21" x14ac:dyDescent="0.25">
      <c r="A256" s="4"/>
      <c r="B256" s="4" t="s">
        <v>41</v>
      </c>
      <c r="C256" s="4">
        <v>1487</v>
      </c>
      <c r="D256" s="4"/>
      <c r="E256" s="4" t="s">
        <v>41</v>
      </c>
      <c r="F256" s="4">
        <v>606</v>
      </c>
    </row>
    <row r="257" spans="1:6" x14ac:dyDescent="0.25">
      <c r="A257" s="4"/>
      <c r="B257" s="4" t="s">
        <v>42</v>
      </c>
      <c r="C257" s="4">
        <v>991</v>
      </c>
      <c r="D257" s="4"/>
      <c r="E257" s="4" t="s">
        <v>42</v>
      </c>
      <c r="F257" s="4">
        <v>1211</v>
      </c>
    </row>
    <row r="258" spans="1:6" x14ac:dyDescent="0.25">
      <c r="A258" s="4"/>
      <c r="B258" s="4" t="s">
        <v>43</v>
      </c>
      <c r="C258" s="4">
        <v>991</v>
      </c>
      <c r="D258" s="4"/>
      <c r="E258" s="4" t="s">
        <v>43</v>
      </c>
      <c r="F258" s="4">
        <v>1211</v>
      </c>
    </row>
    <row r="259" spans="1:6" x14ac:dyDescent="0.25">
      <c r="A259" s="4"/>
      <c r="B259" s="4" t="s">
        <v>44</v>
      </c>
      <c r="C259" s="4">
        <v>520</v>
      </c>
      <c r="D259" s="4"/>
      <c r="E259" s="4" t="s">
        <v>44</v>
      </c>
      <c r="F259" s="4">
        <v>1817</v>
      </c>
    </row>
    <row r="260" spans="1:6" x14ac:dyDescent="0.25">
      <c r="A260" s="4">
        <v>87</v>
      </c>
      <c r="B260" s="3" t="s">
        <v>129</v>
      </c>
      <c r="C260" s="4"/>
      <c r="D260" s="4">
        <v>88</v>
      </c>
      <c r="E260" s="3" t="s">
        <v>130</v>
      </c>
      <c r="F260" s="4"/>
    </row>
    <row r="261" spans="1:6" x14ac:dyDescent="0.25">
      <c r="A261" s="4"/>
      <c r="B261" s="4" t="s">
        <v>40</v>
      </c>
      <c r="C261" s="4">
        <v>495</v>
      </c>
      <c r="D261" s="4"/>
      <c r="E261" s="4" t="s">
        <v>40</v>
      </c>
      <c r="F261" s="4">
        <v>495</v>
      </c>
    </row>
    <row r="262" spans="1:6" ht="21" x14ac:dyDescent="0.25">
      <c r="A262" s="4"/>
      <c r="B262" s="4" t="s">
        <v>41</v>
      </c>
      <c r="C262" s="4">
        <v>495</v>
      </c>
      <c r="D262" s="4"/>
      <c r="E262" s="4" t="s">
        <v>41</v>
      </c>
      <c r="F262" s="4">
        <v>100</v>
      </c>
    </row>
    <row r="263" spans="1:6" x14ac:dyDescent="0.25">
      <c r="A263" s="4"/>
      <c r="B263" s="4" t="s">
        <v>42</v>
      </c>
      <c r="C263" s="4">
        <v>247</v>
      </c>
      <c r="D263" s="4"/>
      <c r="E263" s="4" t="s">
        <v>42</v>
      </c>
      <c r="F263" s="4">
        <v>743</v>
      </c>
    </row>
    <row r="264" spans="1:6" x14ac:dyDescent="0.25">
      <c r="A264" s="4"/>
      <c r="B264" s="4" t="s">
        <v>43</v>
      </c>
      <c r="C264" s="4">
        <v>495</v>
      </c>
      <c r="D264" s="4"/>
      <c r="E264" s="4" t="s">
        <v>43</v>
      </c>
      <c r="F264" s="4">
        <v>3223</v>
      </c>
    </row>
    <row r="265" spans="1:6" x14ac:dyDescent="0.25">
      <c r="A265" s="4"/>
      <c r="B265" s="4" t="s">
        <v>44</v>
      </c>
      <c r="C265" s="4">
        <v>495</v>
      </c>
      <c r="D265" s="4"/>
      <c r="E265" s="4" t="s">
        <v>44</v>
      </c>
      <c r="F265" s="4">
        <v>1735</v>
      </c>
    </row>
    <row r="266" spans="1:6" ht="21" x14ac:dyDescent="0.25">
      <c r="A266" s="4">
        <v>89</v>
      </c>
      <c r="B266" s="3" t="s">
        <v>131</v>
      </c>
      <c r="C266" s="4"/>
      <c r="D266" s="4">
        <v>90</v>
      </c>
      <c r="E266" s="3" t="s">
        <v>132</v>
      </c>
      <c r="F266" s="4"/>
    </row>
    <row r="267" spans="1:6" x14ac:dyDescent="0.25">
      <c r="A267" s="4"/>
      <c r="B267" s="4" t="s">
        <v>40</v>
      </c>
      <c r="C267" s="4">
        <v>1239</v>
      </c>
      <c r="D267" s="4"/>
      <c r="E267" s="4" t="s">
        <v>40</v>
      </c>
      <c r="F267" s="4">
        <v>100</v>
      </c>
    </row>
    <row r="268" spans="1:6" ht="21" x14ac:dyDescent="0.25">
      <c r="A268" s="4"/>
      <c r="B268" s="4" t="s">
        <v>41</v>
      </c>
      <c r="C268" s="4">
        <v>495</v>
      </c>
      <c r="D268" s="4"/>
      <c r="E268" s="4" t="s">
        <v>41</v>
      </c>
      <c r="F268" s="4">
        <v>495</v>
      </c>
    </row>
    <row r="269" spans="1:6" x14ac:dyDescent="0.25">
      <c r="A269" s="4"/>
      <c r="B269" s="4" t="s">
        <v>42</v>
      </c>
      <c r="C269" s="4">
        <v>495</v>
      </c>
      <c r="D269" s="4"/>
      <c r="E269" s="4" t="s">
        <v>42</v>
      </c>
      <c r="F269" s="4">
        <v>495</v>
      </c>
    </row>
    <row r="270" spans="1:6" x14ac:dyDescent="0.25">
      <c r="A270" s="4"/>
      <c r="B270" s="4" t="s">
        <v>43</v>
      </c>
      <c r="C270" s="4">
        <v>991</v>
      </c>
      <c r="D270" s="4"/>
      <c r="E270" s="4" t="s">
        <v>43</v>
      </c>
      <c r="F270" s="4">
        <v>495</v>
      </c>
    </row>
    <row r="271" spans="1:6" x14ac:dyDescent="0.25">
      <c r="A271" s="4"/>
      <c r="B271" s="4" t="s">
        <v>44</v>
      </c>
      <c r="C271" s="4">
        <v>495</v>
      </c>
      <c r="D271" s="4"/>
      <c r="E271" s="4" t="s">
        <v>44</v>
      </c>
      <c r="F271" s="4">
        <v>991</v>
      </c>
    </row>
    <row r="272" spans="1:6" ht="21" x14ac:dyDescent="0.25">
      <c r="A272" s="4">
        <v>91</v>
      </c>
      <c r="B272" s="3" t="s">
        <v>133</v>
      </c>
      <c r="C272" s="4"/>
      <c r="D272" s="4">
        <v>92</v>
      </c>
      <c r="E272" s="3" t="s">
        <v>134</v>
      </c>
      <c r="F272" s="4"/>
    </row>
    <row r="273" spans="1:6" x14ac:dyDescent="0.25">
      <c r="A273" s="4"/>
      <c r="B273" s="4" t="s">
        <v>40</v>
      </c>
      <c r="C273" s="4">
        <v>495</v>
      </c>
      <c r="D273" s="4"/>
      <c r="E273" s="4" t="s">
        <v>40</v>
      </c>
      <c r="F273" s="4">
        <v>4462</v>
      </c>
    </row>
    <row r="274" spans="1:6" ht="21" x14ac:dyDescent="0.25">
      <c r="A274" s="4"/>
      <c r="B274" s="4" t="s">
        <v>41</v>
      </c>
      <c r="C274" s="4">
        <v>100</v>
      </c>
      <c r="D274" s="4"/>
      <c r="E274" s="4" t="s">
        <v>41</v>
      </c>
      <c r="F274" s="4">
        <v>991</v>
      </c>
    </row>
    <row r="275" spans="1:6" x14ac:dyDescent="0.25">
      <c r="A275" s="4"/>
      <c r="B275" s="4" t="s">
        <v>42</v>
      </c>
      <c r="C275" s="4">
        <v>100</v>
      </c>
      <c r="D275" s="4"/>
      <c r="E275" s="4" t="s">
        <v>42</v>
      </c>
      <c r="F275" s="4">
        <v>1239</v>
      </c>
    </row>
    <row r="276" spans="1:6" x14ac:dyDescent="0.25">
      <c r="A276" s="4"/>
      <c r="B276" s="4" t="s">
        <v>43</v>
      </c>
      <c r="C276" s="4">
        <v>991</v>
      </c>
      <c r="D276" s="4"/>
      <c r="E276" s="4" t="s">
        <v>43</v>
      </c>
      <c r="F276" s="4">
        <v>1735</v>
      </c>
    </row>
    <row r="277" spans="1:6" x14ac:dyDescent="0.25">
      <c r="A277" s="4"/>
      <c r="B277" s="4" t="s">
        <v>44</v>
      </c>
      <c r="C277" s="4">
        <v>1239</v>
      </c>
      <c r="D277" s="4"/>
      <c r="E277" s="4" t="s">
        <v>44</v>
      </c>
      <c r="F277" s="4">
        <v>1239</v>
      </c>
    </row>
    <row r="278" spans="1:6" ht="21" x14ac:dyDescent="0.25">
      <c r="A278" s="4">
        <v>93</v>
      </c>
      <c r="B278" s="3" t="s">
        <v>135</v>
      </c>
      <c r="C278" s="4"/>
      <c r="D278" s="4">
        <v>94</v>
      </c>
      <c r="E278" s="3" t="s">
        <v>136</v>
      </c>
      <c r="F278" s="4"/>
    </row>
    <row r="279" spans="1:6" x14ac:dyDescent="0.25">
      <c r="A279" s="4"/>
      <c r="B279" s="4" t="s">
        <v>40</v>
      </c>
      <c r="C279" s="4">
        <v>495</v>
      </c>
      <c r="D279" s="4"/>
      <c r="E279" s="4" t="s">
        <v>40</v>
      </c>
      <c r="F279" s="4">
        <v>1487</v>
      </c>
    </row>
    <row r="280" spans="1:6" ht="21" x14ac:dyDescent="0.25">
      <c r="A280" s="4"/>
      <c r="B280" s="4" t="s">
        <v>41</v>
      </c>
      <c r="C280" s="4">
        <v>991</v>
      </c>
      <c r="D280" s="4"/>
      <c r="E280" s="4" t="s">
        <v>41</v>
      </c>
      <c r="F280" s="4">
        <v>1239</v>
      </c>
    </row>
    <row r="281" spans="1:6" x14ac:dyDescent="0.25">
      <c r="A281" s="4"/>
      <c r="B281" s="4" t="s">
        <v>42</v>
      </c>
      <c r="C281" s="4">
        <v>991</v>
      </c>
      <c r="D281" s="4"/>
      <c r="E281" s="4" t="s">
        <v>42</v>
      </c>
      <c r="F281" s="4">
        <v>2231</v>
      </c>
    </row>
    <row r="282" spans="1:6" x14ac:dyDescent="0.25">
      <c r="A282" s="4"/>
      <c r="B282" s="4" t="s">
        <v>43</v>
      </c>
      <c r="C282" s="4">
        <v>2231</v>
      </c>
      <c r="D282" s="4"/>
      <c r="E282" s="4" t="s">
        <v>43</v>
      </c>
      <c r="F282" s="4">
        <v>2479</v>
      </c>
    </row>
    <row r="283" spans="1:6" x14ac:dyDescent="0.25">
      <c r="A283" s="4"/>
      <c r="B283" s="4" t="s">
        <v>44</v>
      </c>
      <c r="C283" s="4">
        <v>1487</v>
      </c>
      <c r="D283" s="4"/>
      <c r="E283" s="4" t="s">
        <v>44</v>
      </c>
      <c r="F283" s="4">
        <v>1735</v>
      </c>
    </row>
    <row r="284" spans="1:6" ht="31.5" x14ac:dyDescent="0.25">
      <c r="A284" s="4">
        <v>95</v>
      </c>
      <c r="B284" s="3" t="s">
        <v>137</v>
      </c>
      <c r="C284" s="4"/>
      <c r="D284" s="4">
        <v>96</v>
      </c>
      <c r="E284" s="3" t="s">
        <v>138</v>
      </c>
      <c r="F284" s="4"/>
    </row>
    <row r="285" spans="1:6" x14ac:dyDescent="0.25">
      <c r="A285" s="4"/>
      <c r="B285" s="4" t="s">
        <v>40</v>
      </c>
      <c r="C285" s="4">
        <v>100</v>
      </c>
      <c r="D285" s="4"/>
      <c r="E285" s="4" t="s">
        <v>40</v>
      </c>
      <c r="F285" s="4">
        <v>495</v>
      </c>
    </row>
    <row r="286" spans="1:6" ht="21" x14ac:dyDescent="0.25">
      <c r="A286" s="4"/>
      <c r="B286" s="4" t="s">
        <v>41</v>
      </c>
      <c r="C286" s="4">
        <v>100</v>
      </c>
      <c r="D286" s="4"/>
      <c r="E286" s="4" t="s">
        <v>41</v>
      </c>
      <c r="F286" s="4">
        <v>247</v>
      </c>
    </row>
    <row r="287" spans="1:6" x14ac:dyDescent="0.25">
      <c r="A287" s="4"/>
      <c r="B287" s="4" t="s">
        <v>42</v>
      </c>
      <c r="C287" s="4">
        <v>100</v>
      </c>
      <c r="D287" s="4"/>
      <c r="E287" s="4" t="s">
        <v>42</v>
      </c>
      <c r="F287" s="4">
        <v>247</v>
      </c>
    </row>
    <row r="288" spans="1:6" x14ac:dyDescent="0.25">
      <c r="A288" s="4"/>
      <c r="B288" s="4" t="s">
        <v>43</v>
      </c>
      <c r="C288" s="4">
        <v>495</v>
      </c>
      <c r="D288" s="4"/>
      <c r="E288" s="4" t="s">
        <v>43</v>
      </c>
      <c r="F288" s="4">
        <v>495</v>
      </c>
    </row>
    <row r="289" spans="1:6" x14ac:dyDescent="0.25">
      <c r="A289" s="4"/>
      <c r="B289" s="4" t="s">
        <v>44</v>
      </c>
      <c r="C289" s="4">
        <v>495</v>
      </c>
      <c r="D289" s="4"/>
      <c r="E289" s="4" t="s">
        <v>44</v>
      </c>
      <c r="F289" s="4">
        <v>495</v>
      </c>
    </row>
    <row r="290" spans="1:6" ht="31.5" x14ac:dyDescent="0.25">
      <c r="A290" s="4">
        <v>97</v>
      </c>
      <c r="B290" s="3" t="s">
        <v>139</v>
      </c>
      <c r="C290" s="4"/>
      <c r="D290" s="4">
        <v>98</v>
      </c>
      <c r="E290" s="3" t="s">
        <v>140</v>
      </c>
      <c r="F290" s="4"/>
    </row>
    <row r="291" spans="1:6" x14ac:dyDescent="0.25">
      <c r="A291" s="4"/>
      <c r="B291" s="4" t="s">
        <v>40</v>
      </c>
      <c r="C291" s="4">
        <v>247</v>
      </c>
      <c r="D291" s="4"/>
      <c r="E291" s="4" t="s">
        <v>40</v>
      </c>
      <c r="F291" s="4">
        <v>100</v>
      </c>
    </row>
    <row r="292" spans="1:6" ht="21" x14ac:dyDescent="0.25">
      <c r="A292" s="4"/>
      <c r="B292" s="4" t="s">
        <v>41</v>
      </c>
      <c r="C292" s="4">
        <v>247</v>
      </c>
      <c r="D292" s="4"/>
      <c r="E292" s="4" t="s">
        <v>41</v>
      </c>
      <c r="F292" s="4">
        <v>743</v>
      </c>
    </row>
    <row r="293" spans="1:6" x14ac:dyDescent="0.25">
      <c r="A293" s="4"/>
      <c r="B293" s="4" t="s">
        <v>42</v>
      </c>
      <c r="C293" s="4">
        <v>100</v>
      </c>
      <c r="D293" s="4"/>
      <c r="E293" s="4" t="s">
        <v>42</v>
      </c>
      <c r="F293" s="4">
        <v>743</v>
      </c>
    </row>
    <row r="294" spans="1:6" x14ac:dyDescent="0.25">
      <c r="A294" s="4"/>
      <c r="B294" s="4" t="s">
        <v>43</v>
      </c>
      <c r="C294" s="4">
        <v>495</v>
      </c>
      <c r="D294" s="4"/>
      <c r="E294" s="4" t="s">
        <v>43</v>
      </c>
      <c r="F294" s="4">
        <v>743</v>
      </c>
    </row>
    <row r="295" spans="1:6" x14ac:dyDescent="0.25">
      <c r="A295" s="4"/>
      <c r="B295" s="4" t="s">
        <v>44</v>
      </c>
      <c r="C295" s="4">
        <v>495</v>
      </c>
      <c r="D295" s="4"/>
      <c r="E295" s="4" t="s">
        <v>44</v>
      </c>
      <c r="F295" s="4">
        <v>1239</v>
      </c>
    </row>
    <row r="296" spans="1:6" x14ac:dyDescent="0.25">
      <c r="A296" s="4">
        <v>99</v>
      </c>
      <c r="B296" s="3" t="s">
        <v>141</v>
      </c>
      <c r="C296" s="4"/>
      <c r="D296" s="4">
        <v>100</v>
      </c>
      <c r="E296" s="3" t="s">
        <v>142</v>
      </c>
      <c r="F296" s="4"/>
    </row>
    <row r="297" spans="1:6" x14ac:dyDescent="0.25">
      <c r="A297" s="4"/>
      <c r="B297" s="4" t="s">
        <v>40</v>
      </c>
      <c r="C297" s="4">
        <v>100</v>
      </c>
      <c r="D297" s="4"/>
      <c r="E297" s="4" t="s">
        <v>40</v>
      </c>
      <c r="F297" s="4">
        <v>100</v>
      </c>
    </row>
    <row r="298" spans="1:6" ht="21" x14ac:dyDescent="0.25">
      <c r="A298" s="4"/>
      <c r="B298" s="4" t="s">
        <v>41</v>
      </c>
      <c r="C298" s="4">
        <v>100</v>
      </c>
      <c r="D298" s="4"/>
      <c r="E298" s="4" t="s">
        <v>41</v>
      </c>
      <c r="F298" s="4">
        <v>100</v>
      </c>
    </row>
    <row r="299" spans="1:6" x14ac:dyDescent="0.25">
      <c r="A299" s="4"/>
      <c r="B299" s="4" t="s">
        <v>42</v>
      </c>
      <c r="C299" s="4">
        <v>100</v>
      </c>
      <c r="D299" s="4"/>
      <c r="E299" s="4" t="s">
        <v>42</v>
      </c>
      <c r="F299" s="4">
        <v>495</v>
      </c>
    </row>
    <row r="300" spans="1:6" x14ac:dyDescent="0.25">
      <c r="A300" s="4"/>
      <c r="B300" s="4" t="s">
        <v>43</v>
      </c>
      <c r="C300" s="4">
        <v>495</v>
      </c>
      <c r="D300" s="4"/>
      <c r="E300" s="4" t="s">
        <v>43</v>
      </c>
      <c r="F300" s="4">
        <v>100</v>
      </c>
    </row>
    <row r="301" spans="1:6" x14ac:dyDescent="0.25">
      <c r="A301" s="4"/>
      <c r="B301" s="4" t="s">
        <v>44</v>
      </c>
      <c r="C301" s="4">
        <v>247</v>
      </c>
      <c r="D301" s="4"/>
      <c r="E301" s="4" t="s">
        <v>44</v>
      </c>
      <c r="F301" s="4">
        <v>247</v>
      </c>
    </row>
    <row r="302" spans="1:6" x14ac:dyDescent="0.25">
      <c r="A302" s="4">
        <v>101</v>
      </c>
      <c r="B302" s="3" t="s">
        <v>143</v>
      </c>
      <c r="C302" s="4"/>
      <c r="D302" s="4">
        <v>102</v>
      </c>
      <c r="E302" s="3" t="s">
        <v>144</v>
      </c>
      <c r="F302" s="4"/>
    </row>
    <row r="303" spans="1:6" x14ac:dyDescent="0.25">
      <c r="A303" s="4"/>
      <c r="B303" s="4" t="s">
        <v>40</v>
      </c>
      <c r="C303" s="4">
        <v>1600</v>
      </c>
      <c r="D303" s="4"/>
      <c r="E303" s="4" t="s">
        <v>40</v>
      </c>
      <c r="F303" s="4">
        <v>1487</v>
      </c>
    </row>
    <row r="304" spans="1:6" ht="21" x14ac:dyDescent="0.25">
      <c r="A304" s="4"/>
      <c r="B304" s="4" t="s">
        <v>41</v>
      </c>
      <c r="C304" s="4">
        <v>1239</v>
      </c>
      <c r="D304" s="4"/>
      <c r="E304" s="4" t="s">
        <v>41</v>
      </c>
      <c r="F304" s="4">
        <v>743</v>
      </c>
    </row>
    <row r="305" spans="1:6" x14ac:dyDescent="0.25">
      <c r="A305" s="4"/>
      <c r="B305" s="4" t="s">
        <v>42</v>
      </c>
      <c r="C305" s="4">
        <v>1487</v>
      </c>
      <c r="D305" s="4"/>
      <c r="E305" s="4" t="s">
        <v>42</v>
      </c>
      <c r="F305" s="4">
        <v>1239</v>
      </c>
    </row>
    <row r="306" spans="1:6" x14ac:dyDescent="0.25">
      <c r="A306" s="4"/>
      <c r="B306" s="4" t="s">
        <v>43</v>
      </c>
      <c r="C306" s="4">
        <v>2231</v>
      </c>
      <c r="D306" s="4"/>
      <c r="E306" s="4" t="s">
        <v>43</v>
      </c>
      <c r="F306" s="4">
        <v>1100</v>
      </c>
    </row>
    <row r="307" spans="1:6" x14ac:dyDescent="0.25">
      <c r="A307" s="4"/>
      <c r="B307" s="4" t="s">
        <v>44</v>
      </c>
      <c r="C307" s="4">
        <v>2231</v>
      </c>
      <c r="D307" s="4"/>
      <c r="E307" s="4" t="s">
        <v>44</v>
      </c>
      <c r="F307" s="4">
        <v>991</v>
      </c>
    </row>
    <row r="308" spans="1:6" x14ac:dyDescent="0.25">
      <c r="A308" s="4">
        <v>103</v>
      </c>
      <c r="B308" s="3" t="s">
        <v>145</v>
      </c>
      <c r="C308" s="4"/>
      <c r="D308" s="4">
        <v>104</v>
      </c>
      <c r="E308" s="3" t="s">
        <v>146</v>
      </c>
      <c r="F308" s="4"/>
    </row>
    <row r="309" spans="1:6" x14ac:dyDescent="0.25">
      <c r="A309" s="4"/>
      <c r="B309" s="4" t="s">
        <v>40</v>
      </c>
      <c r="C309" s="4">
        <v>100</v>
      </c>
      <c r="D309" s="4"/>
      <c r="E309" s="4" t="s">
        <v>40</v>
      </c>
      <c r="F309" s="4">
        <v>1239</v>
      </c>
    </row>
    <row r="310" spans="1:6" ht="21" x14ac:dyDescent="0.25">
      <c r="A310" s="4"/>
      <c r="B310" s="4" t="s">
        <v>41</v>
      </c>
      <c r="C310" s="4">
        <v>100</v>
      </c>
      <c r="D310" s="4"/>
      <c r="E310" s="4" t="s">
        <v>41</v>
      </c>
      <c r="F310" s="4">
        <v>1239</v>
      </c>
    </row>
    <row r="311" spans="1:6" x14ac:dyDescent="0.25">
      <c r="A311" s="4"/>
      <c r="B311" s="4" t="s">
        <v>42</v>
      </c>
      <c r="C311" s="4">
        <v>100</v>
      </c>
      <c r="D311" s="4"/>
      <c r="E311" s="4" t="s">
        <v>42</v>
      </c>
      <c r="F311" s="4">
        <v>1450</v>
      </c>
    </row>
    <row r="312" spans="1:6" x14ac:dyDescent="0.25">
      <c r="A312" s="4"/>
      <c r="B312" s="4" t="s">
        <v>43</v>
      </c>
      <c r="C312" s="4">
        <v>100</v>
      </c>
      <c r="D312" s="4"/>
      <c r="E312" s="4" t="s">
        <v>43</v>
      </c>
      <c r="F312" s="4">
        <v>1983</v>
      </c>
    </row>
    <row r="313" spans="1:6" x14ac:dyDescent="0.25">
      <c r="A313" s="4"/>
      <c r="B313" s="4" t="s">
        <v>44</v>
      </c>
      <c r="C313" s="4">
        <v>247</v>
      </c>
      <c r="D313" s="4"/>
      <c r="E313" s="4" t="s">
        <v>44</v>
      </c>
      <c r="F313" s="4">
        <v>2175</v>
      </c>
    </row>
    <row r="314" spans="1:6" ht="21" x14ac:dyDescent="0.25">
      <c r="A314" s="4">
        <v>105</v>
      </c>
      <c r="B314" s="3" t="s">
        <v>147</v>
      </c>
      <c r="C314" s="4"/>
      <c r="D314" s="4">
        <v>106</v>
      </c>
      <c r="E314" s="3" t="s">
        <v>148</v>
      </c>
      <c r="F314" s="4"/>
    </row>
    <row r="315" spans="1:6" x14ac:dyDescent="0.25">
      <c r="A315" s="4"/>
      <c r="B315" s="4" t="s">
        <v>40</v>
      </c>
      <c r="C315" s="4">
        <v>100</v>
      </c>
      <c r="D315" s="4"/>
      <c r="E315" s="4" t="s">
        <v>40</v>
      </c>
      <c r="F315" s="4">
        <v>495</v>
      </c>
    </row>
    <row r="316" spans="1:6" ht="21" x14ac:dyDescent="0.25">
      <c r="A316" s="4"/>
      <c r="B316" s="4" t="s">
        <v>41</v>
      </c>
      <c r="C316" s="4">
        <v>247</v>
      </c>
      <c r="D316" s="4"/>
      <c r="E316" s="4" t="s">
        <v>41</v>
      </c>
      <c r="F316" s="4">
        <v>495</v>
      </c>
    </row>
    <row r="317" spans="1:6" x14ac:dyDescent="0.25">
      <c r="A317" s="4"/>
      <c r="B317" s="4" t="s">
        <v>42</v>
      </c>
      <c r="C317" s="4">
        <v>247</v>
      </c>
      <c r="D317" s="4"/>
      <c r="E317" s="4" t="s">
        <v>42</v>
      </c>
      <c r="F317" s="4">
        <v>495</v>
      </c>
    </row>
    <row r="318" spans="1:6" x14ac:dyDescent="0.25">
      <c r="A318" s="4"/>
      <c r="B318" s="4" t="s">
        <v>43</v>
      </c>
      <c r="C318" s="4">
        <v>495</v>
      </c>
      <c r="D318" s="4"/>
      <c r="E318" s="4" t="s">
        <v>43</v>
      </c>
      <c r="F318" s="4">
        <v>495</v>
      </c>
    </row>
    <row r="319" spans="1:6" x14ac:dyDescent="0.25">
      <c r="A319" s="4"/>
      <c r="B319" s="4" t="s">
        <v>44</v>
      </c>
      <c r="C319" s="4">
        <v>495</v>
      </c>
      <c r="D319" s="4"/>
      <c r="E319" s="4" t="s">
        <v>44</v>
      </c>
      <c r="F319" s="4">
        <v>495</v>
      </c>
    </row>
    <row r="320" spans="1:6" x14ac:dyDescent="0.25">
      <c r="A320" s="4">
        <v>107</v>
      </c>
      <c r="B320" s="3" t="s">
        <v>149</v>
      </c>
      <c r="C320" s="4"/>
      <c r="D320" s="4">
        <v>108</v>
      </c>
      <c r="E320" s="3" t="s">
        <v>150</v>
      </c>
      <c r="F320" s="4"/>
    </row>
    <row r="321" spans="1:6" x14ac:dyDescent="0.25">
      <c r="A321" s="4"/>
      <c r="B321" s="4" t="s">
        <v>40</v>
      </c>
      <c r="C321" s="4">
        <v>743</v>
      </c>
      <c r="D321" s="4"/>
      <c r="E321" s="4" t="s">
        <v>40</v>
      </c>
      <c r="F321" s="4">
        <v>650</v>
      </c>
    </row>
    <row r="322" spans="1:6" ht="21" x14ac:dyDescent="0.25">
      <c r="A322" s="4"/>
      <c r="B322" s="4" t="s">
        <v>41</v>
      </c>
      <c r="C322" s="4">
        <v>991</v>
      </c>
      <c r="D322" s="4"/>
      <c r="E322" s="4" t="s">
        <v>41</v>
      </c>
      <c r="F322" s="4"/>
    </row>
    <row r="323" spans="1:6" x14ac:dyDescent="0.25">
      <c r="A323" s="4"/>
      <c r="B323" s="4" t="s">
        <v>42</v>
      </c>
      <c r="C323" s="4">
        <v>1487</v>
      </c>
      <c r="D323" s="4"/>
      <c r="E323" s="4" t="s">
        <v>42</v>
      </c>
      <c r="F323" s="4"/>
    </row>
    <row r="324" spans="1:6" x14ac:dyDescent="0.25">
      <c r="A324" s="4"/>
      <c r="B324" s="4" t="s">
        <v>43</v>
      </c>
      <c r="C324" s="4">
        <v>1983</v>
      </c>
      <c r="D324" s="4"/>
      <c r="E324" s="4" t="s">
        <v>43</v>
      </c>
      <c r="F324" s="4">
        <v>495</v>
      </c>
    </row>
    <row r="325" spans="1:6" x14ac:dyDescent="0.25">
      <c r="A325" s="4"/>
      <c r="B325" s="4" t="s">
        <v>44</v>
      </c>
      <c r="C325" s="4">
        <v>3470</v>
      </c>
      <c r="D325" s="4"/>
      <c r="E325" s="4" t="s">
        <v>44</v>
      </c>
      <c r="F325" s="4">
        <v>495</v>
      </c>
    </row>
    <row r="326" spans="1:6" ht="21" x14ac:dyDescent="0.25">
      <c r="A326" s="4">
        <v>109</v>
      </c>
      <c r="B326" s="3" t="s">
        <v>151</v>
      </c>
      <c r="C326" s="4"/>
      <c r="D326" s="4">
        <v>110</v>
      </c>
      <c r="E326" s="3" t="s">
        <v>152</v>
      </c>
      <c r="F326" s="4"/>
    </row>
    <row r="327" spans="1:6" x14ac:dyDescent="0.25">
      <c r="A327" s="4"/>
      <c r="B327" s="4" t="s">
        <v>40</v>
      </c>
      <c r="C327" s="4">
        <v>495</v>
      </c>
      <c r="D327" s="4"/>
      <c r="E327" s="4" t="s">
        <v>40</v>
      </c>
      <c r="F327" s="4"/>
    </row>
    <row r="328" spans="1:6" ht="21" x14ac:dyDescent="0.25">
      <c r="A328" s="4"/>
      <c r="B328" s="4" t="s">
        <v>41</v>
      </c>
      <c r="C328" s="4">
        <v>495</v>
      </c>
      <c r="D328" s="4"/>
      <c r="E328" s="4" t="s">
        <v>41</v>
      </c>
      <c r="F328" s="4"/>
    </row>
    <row r="329" spans="1:6" x14ac:dyDescent="0.25">
      <c r="A329" s="4"/>
      <c r="B329" s="4" t="s">
        <v>42</v>
      </c>
      <c r="C329" s="4">
        <v>495</v>
      </c>
      <c r="D329" s="4"/>
      <c r="E329" s="4" t="s">
        <v>42</v>
      </c>
      <c r="F329" s="4"/>
    </row>
    <row r="330" spans="1:6" x14ac:dyDescent="0.25">
      <c r="A330" s="4"/>
      <c r="B330" s="4" t="s">
        <v>43</v>
      </c>
      <c r="C330" s="4">
        <v>495</v>
      </c>
      <c r="D330" s="4"/>
      <c r="E330" s="4" t="s">
        <v>43</v>
      </c>
      <c r="F330" s="4">
        <v>495</v>
      </c>
    </row>
    <row r="331" spans="1:6" x14ac:dyDescent="0.25">
      <c r="A331" s="4"/>
      <c r="B331" s="4" t="s">
        <v>44</v>
      </c>
      <c r="C331" s="4">
        <v>495</v>
      </c>
      <c r="D331" s="4"/>
      <c r="E331" s="4" t="s">
        <v>44</v>
      </c>
      <c r="F331" s="4">
        <v>495</v>
      </c>
    </row>
    <row r="332" spans="1:6" ht="21" x14ac:dyDescent="0.25">
      <c r="A332" s="4">
        <v>111</v>
      </c>
      <c r="B332" s="3" t="s">
        <v>153</v>
      </c>
      <c r="C332" s="4"/>
      <c r="D332" s="4">
        <v>112</v>
      </c>
      <c r="E332" s="3" t="s">
        <v>154</v>
      </c>
      <c r="F332" s="4"/>
    </row>
    <row r="333" spans="1:6" x14ac:dyDescent="0.25">
      <c r="A333" s="4"/>
      <c r="B333" s="4" t="s">
        <v>40</v>
      </c>
      <c r="C333" s="4">
        <v>495</v>
      </c>
      <c r="D333" s="4"/>
      <c r="E333" s="4" t="s">
        <v>40</v>
      </c>
      <c r="F333" s="4">
        <v>247</v>
      </c>
    </row>
    <row r="334" spans="1:6" ht="21" x14ac:dyDescent="0.25">
      <c r="A334" s="4"/>
      <c r="B334" s="4" t="s">
        <v>41</v>
      </c>
      <c r="C334" s="4">
        <v>495</v>
      </c>
      <c r="D334" s="4"/>
      <c r="E334" s="4" t="s">
        <v>41</v>
      </c>
      <c r="F334" s="4">
        <v>495</v>
      </c>
    </row>
    <row r="335" spans="1:6" x14ac:dyDescent="0.25">
      <c r="A335" s="4"/>
      <c r="B335" s="4" t="s">
        <v>42</v>
      </c>
      <c r="C335" s="4">
        <v>495</v>
      </c>
      <c r="D335" s="4"/>
      <c r="E335" s="4" t="s">
        <v>42</v>
      </c>
      <c r="F335" s="4">
        <v>495</v>
      </c>
    </row>
    <row r="336" spans="1:6" x14ac:dyDescent="0.25">
      <c r="A336" s="4"/>
      <c r="B336" s="4" t="s">
        <v>43</v>
      </c>
      <c r="C336" s="4">
        <v>991</v>
      </c>
      <c r="D336" s="4"/>
      <c r="E336" s="4" t="s">
        <v>43</v>
      </c>
      <c r="F336" s="4">
        <v>628</v>
      </c>
    </row>
    <row r="337" spans="1:6" x14ac:dyDescent="0.25">
      <c r="A337" s="4"/>
      <c r="B337" s="4" t="s">
        <v>44</v>
      </c>
      <c r="C337" s="4">
        <v>1200</v>
      </c>
      <c r="D337" s="4"/>
      <c r="E337" s="4" t="s">
        <v>44</v>
      </c>
      <c r="F337" s="4">
        <v>906</v>
      </c>
    </row>
    <row r="338" spans="1:6" ht="21" x14ac:dyDescent="0.25">
      <c r="A338" s="4">
        <v>113</v>
      </c>
      <c r="B338" s="3" t="s">
        <v>155</v>
      </c>
      <c r="C338" s="4"/>
      <c r="D338" s="4">
        <v>114</v>
      </c>
      <c r="E338" s="3" t="s">
        <v>156</v>
      </c>
      <c r="F338" s="4"/>
    </row>
    <row r="339" spans="1:6" x14ac:dyDescent="0.25">
      <c r="A339" s="4"/>
      <c r="B339" s="4" t="s">
        <v>40</v>
      </c>
      <c r="C339" s="4">
        <v>495</v>
      </c>
      <c r="D339" s="4"/>
      <c r="E339" s="4" t="s">
        <v>40</v>
      </c>
      <c r="F339" s="4">
        <v>495</v>
      </c>
    </row>
    <row r="340" spans="1:6" ht="21" x14ac:dyDescent="0.25">
      <c r="A340" s="4"/>
      <c r="B340" s="4" t="s">
        <v>41</v>
      </c>
      <c r="C340" s="4">
        <v>495</v>
      </c>
      <c r="D340" s="4"/>
      <c r="E340" s="4" t="s">
        <v>41</v>
      </c>
      <c r="F340" s="4">
        <v>743</v>
      </c>
    </row>
    <row r="341" spans="1:6" x14ac:dyDescent="0.25">
      <c r="A341" s="4"/>
      <c r="B341" s="4" t="s">
        <v>42</v>
      </c>
      <c r="C341" s="4">
        <v>495</v>
      </c>
      <c r="D341" s="4"/>
      <c r="E341" s="4" t="s">
        <v>42</v>
      </c>
      <c r="F341" s="4">
        <v>991</v>
      </c>
    </row>
    <row r="342" spans="1:6" x14ac:dyDescent="0.25">
      <c r="A342" s="4"/>
      <c r="B342" s="4" t="s">
        <v>43</v>
      </c>
      <c r="C342" s="4">
        <v>991</v>
      </c>
      <c r="D342" s="4"/>
      <c r="E342" s="4" t="s">
        <v>43</v>
      </c>
      <c r="F342" s="4">
        <v>1239</v>
      </c>
    </row>
    <row r="343" spans="1:6" x14ac:dyDescent="0.25">
      <c r="A343" s="4"/>
      <c r="B343" s="4" t="s">
        <v>44</v>
      </c>
      <c r="C343" s="4">
        <v>991</v>
      </c>
      <c r="D343" s="4"/>
      <c r="E343" s="4" t="s">
        <v>44</v>
      </c>
      <c r="F343" s="4">
        <v>1983</v>
      </c>
    </row>
    <row r="344" spans="1:6" ht="31.5" x14ac:dyDescent="0.25">
      <c r="A344" s="4">
        <v>115</v>
      </c>
      <c r="B344" s="3" t="s">
        <v>157</v>
      </c>
      <c r="C344" s="4"/>
      <c r="D344" s="4">
        <v>116</v>
      </c>
      <c r="E344" s="3" t="s">
        <v>158</v>
      </c>
      <c r="F344" s="4"/>
    </row>
    <row r="345" spans="1:6" x14ac:dyDescent="0.25">
      <c r="A345" s="4"/>
      <c r="B345" s="4" t="s">
        <v>40</v>
      </c>
      <c r="C345" s="4">
        <v>247</v>
      </c>
      <c r="D345" s="4"/>
      <c r="E345" s="4" t="s">
        <v>40</v>
      </c>
      <c r="F345" s="4">
        <v>1487</v>
      </c>
    </row>
    <row r="346" spans="1:6" ht="21" x14ac:dyDescent="0.25">
      <c r="A346" s="4"/>
      <c r="B346" s="4" t="s">
        <v>41</v>
      </c>
      <c r="C346" s="4">
        <v>247</v>
      </c>
      <c r="D346" s="4"/>
      <c r="E346" s="4" t="s">
        <v>41</v>
      </c>
      <c r="F346" s="4">
        <v>1983</v>
      </c>
    </row>
    <row r="347" spans="1:6" x14ac:dyDescent="0.25">
      <c r="A347" s="4"/>
      <c r="B347" s="4" t="s">
        <v>42</v>
      </c>
      <c r="C347" s="4">
        <v>495</v>
      </c>
      <c r="D347" s="4"/>
      <c r="E347" s="4" t="s">
        <v>42</v>
      </c>
      <c r="F347" s="4">
        <v>1487</v>
      </c>
    </row>
    <row r="348" spans="1:6" x14ac:dyDescent="0.25">
      <c r="A348" s="4"/>
      <c r="B348" s="4" t="s">
        <v>43</v>
      </c>
      <c r="C348" s="4">
        <v>495</v>
      </c>
      <c r="D348" s="4"/>
      <c r="E348" s="4" t="s">
        <v>43</v>
      </c>
      <c r="F348" s="4">
        <v>1487</v>
      </c>
    </row>
    <row r="349" spans="1:6" x14ac:dyDescent="0.25">
      <c r="A349" s="4"/>
      <c r="B349" s="4" t="s">
        <v>44</v>
      </c>
      <c r="C349" s="4">
        <v>195</v>
      </c>
      <c r="D349" s="4"/>
      <c r="E349" s="4" t="s">
        <v>44</v>
      </c>
      <c r="F349" s="4">
        <v>1983</v>
      </c>
    </row>
    <row r="350" spans="1:6" ht="21" x14ac:dyDescent="0.25">
      <c r="A350" s="4">
        <v>117</v>
      </c>
      <c r="B350" s="3" t="s">
        <v>159</v>
      </c>
      <c r="C350" s="4"/>
      <c r="D350" s="4">
        <v>118</v>
      </c>
      <c r="E350" s="3" t="s">
        <v>160</v>
      </c>
      <c r="F350" s="4"/>
    </row>
    <row r="351" spans="1:6" x14ac:dyDescent="0.25">
      <c r="A351" s="4"/>
      <c r="B351" s="4" t="s">
        <v>40</v>
      </c>
      <c r="C351" s="4">
        <v>1200</v>
      </c>
      <c r="D351" s="4"/>
      <c r="E351" s="4" t="s">
        <v>40</v>
      </c>
      <c r="F351" s="4">
        <v>247</v>
      </c>
    </row>
    <row r="352" spans="1:6" ht="21" x14ac:dyDescent="0.25">
      <c r="A352" s="4"/>
      <c r="B352" s="4" t="s">
        <v>41</v>
      </c>
      <c r="C352" s="4">
        <v>700</v>
      </c>
      <c r="D352" s="4"/>
      <c r="E352" s="4" t="s">
        <v>41</v>
      </c>
      <c r="F352" s="4">
        <v>100</v>
      </c>
    </row>
    <row r="353" spans="1:6" x14ac:dyDescent="0.25">
      <c r="A353" s="4"/>
      <c r="B353" s="4" t="s">
        <v>42</v>
      </c>
      <c r="C353" s="4">
        <v>700</v>
      </c>
      <c r="D353" s="4"/>
      <c r="E353" s="4" t="s">
        <v>42</v>
      </c>
      <c r="F353" s="4">
        <v>495</v>
      </c>
    </row>
    <row r="354" spans="1:6" x14ac:dyDescent="0.25">
      <c r="A354" s="4"/>
      <c r="B354" s="4" t="s">
        <v>43</v>
      </c>
      <c r="C354" s="4">
        <v>1200</v>
      </c>
      <c r="D354" s="4"/>
      <c r="E354" s="4" t="s">
        <v>43</v>
      </c>
      <c r="F354" s="4">
        <v>495</v>
      </c>
    </row>
    <row r="355" spans="1:6" x14ac:dyDescent="0.25">
      <c r="A355" s="4"/>
      <c r="B355" s="4" t="s">
        <v>44</v>
      </c>
      <c r="C355" s="4">
        <v>1200</v>
      </c>
      <c r="D355" s="4"/>
      <c r="E355" s="4" t="s">
        <v>44</v>
      </c>
      <c r="F355" s="4">
        <v>495</v>
      </c>
    </row>
    <row r="356" spans="1:6" ht="21" x14ac:dyDescent="0.25">
      <c r="A356" s="4">
        <v>119</v>
      </c>
      <c r="B356" s="3" t="s">
        <v>161</v>
      </c>
      <c r="C356" s="4"/>
      <c r="D356" s="4">
        <v>120</v>
      </c>
      <c r="E356" s="3" t="s">
        <v>162</v>
      </c>
      <c r="F356" s="4"/>
    </row>
    <row r="357" spans="1:6" x14ac:dyDescent="0.25">
      <c r="A357" s="4"/>
      <c r="B357" s="4" t="s">
        <v>40</v>
      </c>
      <c r="C357" s="4">
        <v>495</v>
      </c>
      <c r="D357" s="4"/>
      <c r="E357" s="4" t="s">
        <v>40</v>
      </c>
      <c r="F357" s="4">
        <v>100</v>
      </c>
    </row>
    <row r="358" spans="1:6" ht="21" x14ac:dyDescent="0.25">
      <c r="A358" s="4"/>
      <c r="B358" s="4" t="s">
        <v>41</v>
      </c>
      <c r="C358" s="4">
        <v>991</v>
      </c>
      <c r="D358" s="4"/>
      <c r="E358" s="4" t="s">
        <v>41</v>
      </c>
      <c r="F358" s="4">
        <v>100</v>
      </c>
    </row>
    <row r="359" spans="1:6" x14ac:dyDescent="0.25">
      <c r="A359" s="4"/>
      <c r="B359" s="4" t="s">
        <v>42</v>
      </c>
      <c r="C359" s="4">
        <v>743</v>
      </c>
      <c r="D359" s="4"/>
      <c r="E359" s="4" t="s">
        <v>42</v>
      </c>
      <c r="F359" s="4">
        <v>100</v>
      </c>
    </row>
    <row r="360" spans="1:6" x14ac:dyDescent="0.25">
      <c r="A360" s="4"/>
      <c r="B360" s="4" t="s">
        <v>43</v>
      </c>
      <c r="C360" s="4">
        <v>991</v>
      </c>
      <c r="D360" s="4"/>
      <c r="E360" s="4" t="s">
        <v>43</v>
      </c>
      <c r="F360" s="4">
        <v>100</v>
      </c>
    </row>
    <row r="361" spans="1:6" x14ac:dyDescent="0.25">
      <c r="A361" s="4"/>
      <c r="B361" s="4" t="s">
        <v>44</v>
      </c>
      <c r="C361" s="4">
        <v>743</v>
      </c>
      <c r="D361" s="4"/>
      <c r="E361" s="4" t="s">
        <v>44</v>
      </c>
      <c r="F361" s="4">
        <v>100</v>
      </c>
    </row>
    <row r="362" spans="1:6" ht="21" x14ac:dyDescent="0.25">
      <c r="A362" s="4">
        <v>121</v>
      </c>
      <c r="B362" s="3" t="s">
        <v>163</v>
      </c>
      <c r="C362" s="4"/>
      <c r="D362" s="4">
        <v>122</v>
      </c>
      <c r="E362" s="3" t="s">
        <v>164</v>
      </c>
      <c r="F362" s="4"/>
    </row>
    <row r="363" spans="1:6" x14ac:dyDescent="0.25">
      <c r="A363" s="4"/>
      <c r="B363" s="4" t="s">
        <v>40</v>
      </c>
      <c r="C363" s="4">
        <v>520</v>
      </c>
      <c r="D363" s="4"/>
      <c r="E363" s="4" t="s">
        <v>40</v>
      </c>
      <c r="F363" s="4">
        <v>991</v>
      </c>
    </row>
    <row r="364" spans="1:6" ht="21" x14ac:dyDescent="0.25">
      <c r="A364" s="4"/>
      <c r="B364" s="4" t="s">
        <v>41</v>
      </c>
      <c r="C364" s="4">
        <v>520</v>
      </c>
      <c r="D364" s="4"/>
      <c r="E364" s="4" t="s">
        <v>41</v>
      </c>
      <c r="F364" s="4">
        <v>991</v>
      </c>
    </row>
    <row r="365" spans="1:6" x14ac:dyDescent="0.25">
      <c r="A365" s="4"/>
      <c r="B365" s="4" t="s">
        <v>42</v>
      </c>
      <c r="C365" s="4">
        <v>495</v>
      </c>
      <c r="D365" s="4"/>
      <c r="E365" s="4" t="s">
        <v>42</v>
      </c>
      <c r="F365" s="4">
        <v>991</v>
      </c>
    </row>
    <row r="366" spans="1:6" x14ac:dyDescent="0.25">
      <c r="A366" s="4"/>
      <c r="B366" s="4" t="s">
        <v>43</v>
      </c>
      <c r="C366" s="4">
        <v>805</v>
      </c>
      <c r="D366" s="4"/>
      <c r="E366" s="4" t="s">
        <v>43</v>
      </c>
      <c r="F366" s="4">
        <v>1735</v>
      </c>
    </row>
    <row r="367" spans="1:6" x14ac:dyDescent="0.25">
      <c r="A367" s="4"/>
      <c r="B367" s="4" t="s">
        <v>44</v>
      </c>
      <c r="C367" s="4">
        <v>3450</v>
      </c>
      <c r="D367" s="4"/>
      <c r="E367" s="4" t="s">
        <v>44</v>
      </c>
      <c r="F367" s="4">
        <v>1735</v>
      </c>
    </row>
    <row r="368" spans="1:6" ht="21" x14ac:dyDescent="0.25">
      <c r="A368" s="4">
        <v>123</v>
      </c>
      <c r="B368" s="3" t="s">
        <v>165</v>
      </c>
      <c r="C368" s="4"/>
      <c r="D368" s="4">
        <v>124</v>
      </c>
      <c r="E368" s="3" t="s">
        <v>166</v>
      </c>
      <c r="F368" s="4"/>
    </row>
    <row r="369" spans="1:6" x14ac:dyDescent="0.25">
      <c r="A369" s="4"/>
      <c r="B369" s="4" t="s">
        <v>40</v>
      </c>
      <c r="C369" s="4">
        <v>495</v>
      </c>
      <c r="D369" s="4"/>
      <c r="E369" s="4" t="s">
        <v>40</v>
      </c>
      <c r="F369" s="4">
        <v>247</v>
      </c>
    </row>
    <row r="370" spans="1:6" ht="21" x14ac:dyDescent="0.25">
      <c r="A370" s="4"/>
      <c r="B370" s="4" t="s">
        <v>41</v>
      </c>
      <c r="C370" s="4">
        <v>495</v>
      </c>
      <c r="D370" s="4"/>
      <c r="E370" s="4" t="s">
        <v>41</v>
      </c>
      <c r="F370" s="4">
        <v>247</v>
      </c>
    </row>
    <row r="371" spans="1:6" x14ac:dyDescent="0.25">
      <c r="A371" s="4"/>
      <c r="B371" s="4" t="s">
        <v>42</v>
      </c>
      <c r="C371" s="4">
        <v>247</v>
      </c>
      <c r="D371" s="4"/>
      <c r="E371" s="4" t="s">
        <v>42</v>
      </c>
      <c r="F371" s="4">
        <v>247</v>
      </c>
    </row>
    <row r="372" spans="1:6" x14ac:dyDescent="0.25">
      <c r="A372" s="4"/>
      <c r="B372" s="4" t="s">
        <v>43</v>
      </c>
      <c r="C372" s="4">
        <v>743</v>
      </c>
      <c r="D372" s="4"/>
      <c r="E372" s="4" t="s">
        <v>43</v>
      </c>
      <c r="F372" s="4">
        <v>247</v>
      </c>
    </row>
    <row r="373" spans="1:6" x14ac:dyDescent="0.25">
      <c r="A373" s="4"/>
      <c r="B373" s="4" t="s">
        <v>44</v>
      </c>
      <c r="C373" s="4">
        <v>950</v>
      </c>
      <c r="D373" s="4"/>
      <c r="E373" s="4" t="s">
        <v>44</v>
      </c>
      <c r="F373" s="4">
        <v>247</v>
      </c>
    </row>
    <row r="374" spans="1:6" ht="21" x14ac:dyDescent="0.25">
      <c r="A374" s="4">
        <v>125</v>
      </c>
      <c r="B374" s="3" t="s">
        <v>167</v>
      </c>
      <c r="C374" s="4"/>
      <c r="D374" s="4">
        <v>126</v>
      </c>
      <c r="E374" s="3" t="s">
        <v>168</v>
      </c>
      <c r="F374" s="4"/>
    </row>
    <row r="375" spans="1:6" x14ac:dyDescent="0.25">
      <c r="A375" s="4"/>
      <c r="B375" s="4" t="s">
        <v>40</v>
      </c>
      <c r="C375" s="4">
        <v>100</v>
      </c>
      <c r="D375" s="4"/>
      <c r="E375" s="4" t="s">
        <v>40</v>
      </c>
      <c r="F375" s="4">
        <v>247</v>
      </c>
    </row>
    <row r="376" spans="1:6" ht="21" x14ac:dyDescent="0.25">
      <c r="A376" s="4"/>
      <c r="B376" s="4" t="s">
        <v>41</v>
      </c>
      <c r="C376" s="4">
        <v>495</v>
      </c>
      <c r="D376" s="4"/>
      <c r="E376" s="4" t="s">
        <v>41</v>
      </c>
      <c r="F376" s="4">
        <v>247</v>
      </c>
    </row>
    <row r="377" spans="1:6" x14ac:dyDescent="0.25">
      <c r="A377" s="4"/>
      <c r="B377" s="4" t="s">
        <v>42</v>
      </c>
      <c r="C377" s="4">
        <v>495</v>
      </c>
      <c r="D377" s="4"/>
      <c r="E377" s="4" t="s">
        <v>42</v>
      </c>
      <c r="F377" s="4">
        <v>247</v>
      </c>
    </row>
    <row r="378" spans="1:6" x14ac:dyDescent="0.25">
      <c r="A378" s="4"/>
      <c r="B378" s="4" t="s">
        <v>43</v>
      </c>
      <c r="C378" s="4">
        <v>743</v>
      </c>
      <c r="D378" s="4"/>
      <c r="E378" s="4" t="s">
        <v>43</v>
      </c>
      <c r="F378" s="4">
        <v>743</v>
      </c>
    </row>
    <row r="379" spans="1:6" x14ac:dyDescent="0.25">
      <c r="A379" s="4"/>
      <c r="B379" s="4" t="s">
        <v>44</v>
      </c>
      <c r="C379" s="4">
        <v>991</v>
      </c>
      <c r="D379" s="4"/>
      <c r="E379" s="4" t="s">
        <v>44</v>
      </c>
      <c r="F379" s="4">
        <v>495</v>
      </c>
    </row>
    <row r="380" spans="1:6" x14ac:dyDescent="0.25">
      <c r="A380" s="4">
        <v>127</v>
      </c>
      <c r="B380" s="3" t="s">
        <v>169</v>
      </c>
      <c r="C380" s="4"/>
      <c r="D380" s="4">
        <v>128</v>
      </c>
      <c r="E380" s="3" t="s">
        <v>170</v>
      </c>
      <c r="F380" s="4"/>
    </row>
    <row r="381" spans="1:6" x14ac:dyDescent="0.25">
      <c r="A381" s="4"/>
      <c r="B381" s="4" t="s">
        <v>40</v>
      </c>
      <c r="C381" s="4">
        <v>100</v>
      </c>
      <c r="D381" s="4"/>
      <c r="E381" s="4" t="s">
        <v>40</v>
      </c>
      <c r="F381" s="4">
        <v>100</v>
      </c>
    </row>
    <row r="382" spans="1:6" ht="21" x14ac:dyDescent="0.25">
      <c r="A382" s="4"/>
      <c r="B382" s="4" t="s">
        <v>41</v>
      </c>
      <c r="C382" s="4">
        <v>495</v>
      </c>
      <c r="D382" s="4"/>
      <c r="E382" s="4" t="s">
        <v>41</v>
      </c>
      <c r="F382" s="4">
        <v>100</v>
      </c>
    </row>
    <row r="383" spans="1:6" x14ac:dyDescent="0.25">
      <c r="A383" s="4"/>
      <c r="B383" s="4" t="s">
        <v>42</v>
      </c>
      <c r="C383" s="4">
        <v>1239</v>
      </c>
      <c r="D383" s="4"/>
      <c r="E383" s="4" t="s">
        <v>42</v>
      </c>
      <c r="F383" s="4">
        <v>100</v>
      </c>
    </row>
    <row r="384" spans="1:6" x14ac:dyDescent="0.25">
      <c r="A384" s="4"/>
      <c r="B384" s="4" t="s">
        <v>43</v>
      </c>
      <c r="C384" s="4">
        <v>743</v>
      </c>
      <c r="D384" s="4"/>
      <c r="E384" s="4" t="s">
        <v>43</v>
      </c>
      <c r="F384" s="4">
        <v>247</v>
      </c>
    </row>
    <row r="385" spans="1:6" x14ac:dyDescent="0.25">
      <c r="A385" s="4"/>
      <c r="B385" s="4" t="s">
        <v>44</v>
      </c>
      <c r="C385" s="4">
        <v>1487</v>
      </c>
      <c r="D385" s="4"/>
      <c r="E385" s="4" t="s">
        <v>44</v>
      </c>
      <c r="F385" s="4">
        <v>495</v>
      </c>
    </row>
    <row r="386" spans="1:6" ht="31.5" x14ac:dyDescent="0.25">
      <c r="A386" s="4">
        <v>129</v>
      </c>
      <c r="B386" s="3" t="s">
        <v>171</v>
      </c>
      <c r="C386" s="4"/>
      <c r="D386" s="4">
        <v>130</v>
      </c>
      <c r="E386" s="3" t="s">
        <v>172</v>
      </c>
      <c r="F386" s="4"/>
    </row>
    <row r="387" spans="1:6" x14ac:dyDescent="0.25">
      <c r="A387" s="4"/>
      <c r="B387" s="4" t="s">
        <v>40</v>
      </c>
      <c r="C387" s="4">
        <v>495</v>
      </c>
      <c r="D387" s="4"/>
      <c r="E387" s="4" t="s">
        <v>40</v>
      </c>
      <c r="F387" s="4">
        <v>100</v>
      </c>
    </row>
    <row r="388" spans="1:6" ht="21" x14ac:dyDescent="0.25">
      <c r="A388" s="4"/>
      <c r="B388" s="4" t="s">
        <v>41</v>
      </c>
      <c r="C388" s="4">
        <v>495</v>
      </c>
      <c r="D388" s="4"/>
      <c r="E388" s="4" t="s">
        <v>41</v>
      </c>
      <c r="F388" s="4">
        <v>1487</v>
      </c>
    </row>
    <row r="389" spans="1:6" x14ac:dyDescent="0.25">
      <c r="A389" s="4"/>
      <c r="B389" s="4" t="s">
        <v>42</v>
      </c>
      <c r="C389" s="4">
        <v>495</v>
      </c>
      <c r="D389" s="4"/>
      <c r="E389" s="4" t="s">
        <v>42</v>
      </c>
      <c r="F389" s="4">
        <v>2700</v>
      </c>
    </row>
    <row r="390" spans="1:6" x14ac:dyDescent="0.25">
      <c r="A390" s="4"/>
      <c r="B390" s="4" t="s">
        <v>43</v>
      </c>
      <c r="C390" s="4">
        <v>495</v>
      </c>
      <c r="D390" s="4"/>
      <c r="E390" s="4" t="s">
        <v>43</v>
      </c>
      <c r="F390" s="4">
        <v>2700</v>
      </c>
    </row>
    <row r="391" spans="1:6" x14ac:dyDescent="0.25">
      <c r="A391" s="4"/>
      <c r="B391" s="4" t="s">
        <v>44</v>
      </c>
      <c r="C391" s="4">
        <v>495</v>
      </c>
      <c r="D391" s="4"/>
      <c r="E391" s="4" t="s">
        <v>44</v>
      </c>
      <c r="F391" s="4">
        <v>4200</v>
      </c>
    </row>
    <row r="392" spans="1:6" ht="21" x14ac:dyDescent="0.25">
      <c r="A392" s="4">
        <v>131</v>
      </c>
      <c r="B392" s="3" t="s">
        <v>173</v>
      </c>
      <c r="C392" s="4"/>
      <c r="D392" s="4">
        <v>132</v>
      </c>
      <c r="E392" s="3" t="s">
        <v>174</v>
      </c>
      <c r="F392" s="4"/>
    </row>
    <row r="393" spans="1:6" x14ac:dyDescent="0.25">
      <c r="A393" s="4"/>
      <c r="B393" s="4" t="s">
        <v>40</v>
      </c>
      <c r="C393" s="4">
        <v>700</v>
      </c>
      <c r="D393" s="4"/>
      <c r="E393" s="4" t="s">
        <v>40</v>
      </c>
      <c r="F393" s="4">
        <v>100</v>
      </c>
    </row>
    <row r="394" spans="1:6" ht="21" x14ac:dyDescent="0.25">
      <c r="A394" s="4"/>
      <c r="B394" s="4" t="s">
        <v>41</v>
      </c>
      <c r="C394" s="4">
        <v>700</v>
      </c>
      <c r="D394" s="4"/>
      <c r="E394" s="4" t="s">
        <v>41</v>
      </c>
      <c r="F394" s="4">
        <v>495</v>
      </c>
    </row>
    <row r="395" spans="1:6" x14ac:dyDescent="0.25">
      <c r="A395" s="4"/>
      <c r="B395" s="4" t="s">
        <v>42</v>
      </c>
      <c r="C395" s="4">
        <v>600</v>
      </c>
      <c r="D395" s="4"/>
      <c r="E395" s="4" t="s">
        <v>42</v>
      </c>
      <c r="F395" s="4">
        <v>495</v>
      </c>
    </row>
    <row r="396" spans="1:6" x14ac:dyDescent="0.25">
      <c r="A396" s="4"/>
      <c r="B396" s="4" t="s">
        <v>43</v>
      </c>
      <c r="C396" s="4">
        <v>1487</v>
      </c>
      <c r="D396" s="4"/>
      <c r="E396" s="4" t="s">
        <v>43</v>
      </c>
      <c r="F396" s="4">
        <v>495</v>
      </c>
    </row>
    <row r="397" spans="1:6" x14ac:dyDescent="0.25">
      <c r="A397" s="4"/>
      <c r="B397" s="4" t="s">
        <v>44</v>
      </c>
      <c r="C397" s="4">
        <v>1983</v>
      </c>
      <c r="D397" s="4"/>
      <c r="E397" s="4" t="s">
        <v>44</v>
      </c>
      <c r="F397" s="4">
        <v>495</v>
      </c>
    </row>
    <row r="398" spans="1:6" ht="21" x14ac:dyDescent="0.25">
      <c r="A398" s="4">
        <v>133</v>
      </c>
      <c r="B398" s="3" t="s">
        <v>175</v>
      </c>
      <c r="C398" s="4"/>
      <c r="D398" s="4">
        <v>134</v>
      </c>
      <c r="E398" s="3" t="s">
        <v>176</v>
      </c>
      <c r="F398" s="4"/>
    </row>
    <row r="399" spans="1:6" x14ac:dyDescent="0.25">
      <c r="A399" s="4"/>
      <c r="B399" s="4" t="s">
        <v>40</v>
      </c>
      <c r="C399" s="4">
        <v>550</v>
      </c>
      <c r="D399" s="4"/>
      <c r="E399" s="4" t="s">
        <v>40</v>
      </c>
      <c r="F399" s="4">
        <v>100</v>
      </c>
    </row>
    <row r="400" spans="1:6" ht="21" x14ac:dyDescent="0.25">
      <c r="A400" s="4"/>
      <c r="B400" s="4" t="s">
        <v>41</v>
      </c>
      <c r="C400" s="4">
        <v>550</v>
      </c>
      <c r="D400" s="4"/>
      <c r="E400" s="4" t="s">
        <v>41</v>
      </c>
      <c r="F400" s="4">
        <v>100</v>
      </c>
    </row>
    <row r="401" spans="1:6" x14ac:dyDescent="0.25">
      <c r="A401" s="4"/>
      <c r="B401" s="4" t="s">
        <v>42</v>
      </c>
      <c r="C401" s="4">
        <v>500</v>
      </c>
      <c r="D401" s="4"/>
      <c r="E401" s="4" t="s">
        <v>42</v>
      </c>
      <c r="F401" s="4">
        <v>495</v>
      </c>
    </row>
    <row r="402" spans="1:6" x14ac:dyDescent="0.25">
      <c r="A402" s="4"/>
      <c r="B402" s="4" t="s">
        <v>43</v>
      </c>
      <c r="C402" s="4">
        <v>600</v>
      </c>
      <c r="D402" s="4"/>
      <c r="E402" s="4" t="s">
        <v>43</v>
      </c>
      <c r="F402" s="4">
        <v>1487</v>
      </c>
    </row>
    <row r="403" spans="1:6" x14ac:dyDescent="0.25">
      <c r="A403" s="4"/>
      <c r="B403" s="4" t="s">
        <v>44</v>
      </c>
      <c r="C403" s="4">
        <v>600</v>
      </c>
      <c r="D403" s="4"/>
      <c r="E403" s="4" t="s">
        <v>44</v>
      </c>
      <c r="F403" s="4">
        <v>1735</v>
      </c>
    </row>
    <row r="404" spans="1:6" ht="21" x14ac:dyDescent="0.25">
      <c r="A404" s="4">
        <v>135</v>
      </c>
      <c r="B404" s="3" t="s">
        <v>177</v>
      </c>
      <c r="C404" s="4"/>
      <c r="D404" s="4">
        <v>136</v>
      </c>
      <c r="E404" s="3" t="s">
        <v>178</v>
      </c>
      <c r="F404" s="4"/>
    </row>
    <row r="405" spans="1:6" x14ac:dyDescent="0.25">
      <c r="A405" s="4"/>
      <c r="B405" s="4" t="s">
        <v>40</v>
      </c>
      <c r="C405" s="4">
        <v>991</v>
      </c>
      <c r="D405" s="4"/>
      <c r="E405" s="4" t="s">
        <v>40</v>
      </c>
      <c r="F405" s="4">
        <v>743</v>
      </c>
    </row>
    <row r="406" spans="1:6" ht="21" x14ac:dyDescent="0.25">
      <c r="A406" s="4"/>
      <c r="B406" s="4" t="s">
        <v>41</v>
      </c>
      <c r="C406" s="4">
        <v>1487</v>
      </c>
      <c r="D406" s="4"/>
      <c r="E406" s="4" t="s">
        <v>41</v>
      </c>
      <c r="F406" s="4">
        <v>100</v>
      </c>
    </row>
    <row r="407" spans="1:6" x14ac:dyDescent="0.25">
      <c r="A407" s="4"/>
      <c r="B407" s="4" t="s">
        <v>42</v>
      </c>
      <c r="C407" s="4">
        <v>1983</v>
      </c>
      <c r="D407" s="4"/>
      <c r="E407" s="4" t="s">
        <v>42</v>
      </c>
      <c r="F407" s="4">
        <v>100</v>
      </c>
    </row>
    <row r="408" spans="1:6" x14ac:dyDescent="0.25">
      <c r="A408" s="4"/>
      <c r="B408" s="4" t="s">
        <v>43</v>
      </c>
      <c r="C408" s="4">
        <v>2231</v>
      </c>
      <c r="D408" s="4"/>
      <c r="E408" s="4" t="s">
        <v>43</v>
      </c>
      <c r="F408" s="4">
        <v>247</v>
      </c>
    </row>
    <row r="409" spans="1:6" x14ac:dyDescent="0.25">
      <c r="A409" s="4"/>
      <c r="B409" s="4" t="s">
        <v>44</v>
      </c>
      <c r="C409" s="4">
        <v>3718</v>
      </c>
      <c r="D409" s="4"/>
      <c r="E409" s="4" t="s">
        <v>44</v>
      </c>
      <c r="F409" s="4">
        <v>100</v>
      </c>
    </row>
    <row r="410" spans="1:6" ht="21" x14ac:dyDescent="0.25">
      <c r="A410" s="4">
        <v>137</v>
      </c>
      <c r="B410" s="3" t="s">
        <v>179</v>
      </c>
      <c r="C410" s="4"/>
      <c r="D410" s="4">
        <v>138</v>
      </c>
      <c r="E410" s="3" t="s">
        <v>180</v>
      </c>
      <c r="F410" s="4"/>
    </row>
    <row r="411" spans="1:6" x14ac:dyDescent="0.25">
      <c r="A411" s="4"/>
      <c r="B411" s="4" t="s">
        <v>40</v>
      </c>
      <c r="C411" s="4">
        <v>100</v>
      </c>
      <c r="D411" s="4"/>
      <c r="E411" s="4" t="s">
        <v>40</v>
      </c>
      <c r="F411" s="4">
        <v>495</v>
      </c>
    </row>
    <row r="412" spans="1:6" ht="21" x14ac:dyDescent="0.25">
      <c r="A412" s="4"/>
      <c r="B412" s="4" t="s">
        <v>41</v>
      </c>
      <c r="C412" s="4">
        <v>247</v>
      </c>
      <c r="D412" s="4"/>
      <c r="E412" s="4" t="s">
        <v>41</v>
      </c>
      <c r="F412" s="4">
        <v>495</v>
      </c>
    </row>
    <row r="413" spans="1:6" x14ac:dyDescent="0.25">
      <c r="A413" s="4"/>
      <c r="B413" s="4" t="s">
        <v>42</v>
      </c>
      <c r="C413" s="4">
        <v>495</v>
      </c>
      <c r="D413" s="4"/>
      <c r="E413" s="4" t="s">
        <v>42</v>
      </c>
      <c r="F413" s="4">
        <v>743</v>
      </c>
    </row>
    <row r="414" spans="1:6" x14ac:dyDescent="0.25">
      <c r="A414" s="4"/>
      <c r="B414" s="4" t="s">
        <v>43</v>
      </c>
      <c r="C414" s="4">
        <v>495</v>
      </c>
      <c r="D414" s="4"/>
      <c r="E414" s="4" t="s">
        <v>43</v>
      </c>
      <c r="F414" s="4">
        <v>1487</v>
      </c>
    </row>
    <row r="415" spans="1:6" x14ac:dyDescent="0.25">
      <c r="A415" s="4"/>
      <c r="B415" s="4" t="s">
        <v>44</v>
      </c>
      <c r="C415" s="4">
        <v>495</v>
      </c>
      <c r="D415" s="4"/>
      <c r="E415" s="4" t="s">
        <v>44</v>
      </c>
      <c r="F415" s="4">
        <v>1239</v>
      </c>
    </row>
    <row r="416" spans="1:6" ht="21" x14ac:dyDescent="0.25">
      <c r="A416" s="4">
        <v>139</v>
      </c>
      <c r="B416" s="3" t="s">
        <v>181</v>
      </c>
      <c r="C416" s="4"/>
      <c r="D416" s="4">
        <v>140</v>
      </c>
      <c r="E416" s="3" t="s">
        <v>182</v>
      </c>
      <c r="F416" s="4"/>
    </row>
    <row r="417" spans="1:6" x14ac:dyDescent="0.25">
      <c r="A417" s="4"/>
      <c r="B417" s="4" t="s">
        <v>40</v>
      </c>
      <c r="C417" s="4">
        <v>10000</v>
      </c>
      <c r="D417" s="4"/>
      <c r="E417" s="4" t="s">
        <v>40</v>
      </c>
      <c r="F417" s="4">
        <v>100</v>
      </c>
    </row>
    <row r="418" spans="1:6" ht="21" x14ac:dyDescent="0.25">
      <c r="A418" s="4"/>
      <c r="B418" s="4" t="s">
        <v>41</v>
      </c>
      <c r="C418" s="4">
        <v>10000</v>
      </c>
      <c r="D418" s="4"/>
      <c r="E418" s="4" t="s">
        <v>41</v>
      </c>
      <c r="F418" s="4">
        <v>100</v>
      </c>
    </row>
    <row r="419" spans="1:6" x14ac:dyDescent="0.25">
      <c r="A419" s="4"/>
      <c r="B419" s="4" t="s">
        <v>42</v>
      </c>
      <c r="C419" s="4">
        <v>2231</v>
      </c>
      <c r="D419" s="4"/>
      <c r="E419" s="4" t="s">
        <v>42</v>
      </c>
      <c r="F419" s="4">
        <v>100</v>
      </c>
    </row>
    <row r="420" spans="1:6" x14ac:dyDescent="0.25">
      <c r="A420" s="4"/>
      <c r="B420" s="4" t="s">
        <v>43</v>
      </c>
      <c r="C420" s="4">
        <v>2975</v>
      </c>
      <c r="D420" s="4"/>
      <c r="E420" s="4" t="s">
        <v>43</v>
      </c>
      <c r="F420" s="4">
        <v>100</v>
      </c>
    </row>
    <row r="421" spans="1:6" x14ac:dyDescent="0.25">
      <c r="A421" s="4"/>
      <c r="B421" s="4" t="s">
        <v>44</v>
      </c>
      <c r="C421" s="4">
        <v>3500</v>
      </c>
      <c r="D421" s="4"/>
      <c r="E421" s="4" t="s">
        <v>44</v>
      </c>
      <c r="F421" s="4">
        <v>100</v>
      </c>
    </row>
    <row r="422" spans="1:6" ht="21" x14ac:dyDescent="0.25">
      <c r="A422" s="4">
        <v>141</v>
      </c>
      <c r="B422" s="3" t="s">
        <v>183</v>
      </c>
      <c r="C422" s="4"/>
      <c r="D422" s="4">
        <v>142</v>
      </c>
      <c r="E422" s="3" t="s">
        <v>184</v>
      </c>
      <c r="F422" s="4"/>
    </row>
    <row r="423" spans="1:6" x14ac:dyDescent="0.25">
      <c r="A423" s="4"/>
      <c r="B423" s="4" t="s">
        <v>40</v>
      </c>
      <c r="C423" s="4">
        <v>100</v>
      </c>
      <c r="D423" s="4"/>
      <c r="E423" s="4" t="s">
        <v>40</v>
      </c>
      <c r="F423" s="4">
        <v>495</v>
      </c>
    </row>
    <row r="424" spans="1:6" ht="21" x14ac:dyDescent="0.25">
      <c r="A424" s="4"/>
      <c r="B424" s="4" t="s">
        <v>41</v>
      </c>
      <c r="C424" s="4">
        <v>100</v>
      </c>
      <c r="D424" s="4"/>
      <c r="E424" s="4" t="s">
        <v>41</v>
      </c>
      <c r="F424" s="4">
        <v>495</v>
      </c>
    </row>
    <row r="425" spans="1:6" x14ac:dyDescent="0.25">
      <c r="A425" s="4"/>
      <c r="B425" s="4" t="s">
        <v>42</v>
      </c>
      <c r="C425" s="4">
        <v>100</v>
      </c>
      <c r="D425" s="4"/>
      <c r="E425" s="4" t="s">
        <v>42</v>
      </c>
      <c r="F425" s="4">
        <v>991</v>
      </c>
    </row>
    <row r="426" spans="1:6" x14ac:dyDescent="0.25">
      <c r="A426" s="4"/>
      <c r="B426" s="4" t="s">
        <v>43</v>
      </c>
      <c r="C426" s="4">
        <v>100</v>
      </c>
      <c r="D426" s="4"/>
      <c r="E426" s="4" t="s">
        <v>43</v>
      </c>
      <c r="F426" s="4">
        <v>1487</v>
      </c>
    </row>
    <row r="427" spans="1:6" x14ac:dyDescent="0.25">
      <c r="A427" s="4"/>
      <c r="B427" s="4" t="s">
        <v>44</v>
      </c>
      <c r="C427" s="4">
        <v>495</v>
      </c>
      <c r="D427" s="4"/>
      <c r="E427" s="4" t="s">
        <v>44</v>
      </c>
      <c r="F427" s="4">
        <v>1735</v>
      </c>
    </row>
    <row r="428" spans="1:6" ht="21" x14ac:dyDescent="0.25">
      <c r="A428" s="4">
        <v>143</v>
      </c>
      <c r="B428" s="3" t="s">
        <v>185</v>
      </c>
      <c r="C428" s="4"/>
      <c r="D428" s="4">
        <v>144</v>
      </c>
      <c r="E428" s="3" t="s">
        <v>186</v>
      </c>
      <c r="F428" s="4"/>
    </row>
    <row r="429" spans="1:6" x14ac:dyDescent="0.25">
      <c r="A429" s="4"/>
      <c r="B429" s="4" t="s">
        <v>40</v>
      </c>
      <c r="C429" s="4">
        <v>495</v>
      </c>
      <c r="D429" s="4"/>
      <c r="E429" s="4" t="s">
        <v>40</v>
      </c>
      <c r="F429" s="4">
        <v>743</v>
      </c>
    </row>
    <row r="430" spans="1:6" ht="21" x14ac:dyDescent="0.25">
      <c r="A430" s="4"/>
      <c r="B430" s="4" t="s">
        <v>41</v>
      </c>
      <c r="C430" s="4">
        <v>100</v>
      </c>
      <c r="D430" s="4"/>
      <c r="E430" s="4" t="s">
        <v>41</v>
      </c>
      <c r="F430" s="4">
        <v>495</v>
      </c>
    </row>
    <row r="431" spans="1:6" x14ac:dyDescent="0.25">
      <c r="A431" s="4"/>
      <c r="B431" s="4" t="s">
        <v>42</v>
      </c>
      <c r="C431" s="4">
        <v>100</v>
      </c>
      <c r="D431" s="4"/>
      <c r="E431" s="4" t="s">
        <v>42</v>
      </c>
      <c r="F431" s="4">
        <v>1239</v>
      </c>
    </row>
    <row r="432" spans="1:6" x14ac:dyDescent="0.25">
      <c r="A432" s="4"/>
      <c r="B432" s="4" t="s">
        <v>43</v>
      </c>
      <c r="C432" s="4">
        <v>100</v>
      </c>
      <c r="D432" s="4"/>
      <c r="E432" s="4" t="s">
        <v>43</v>
      </c>
      <c r="F432" s="4">
        <v>1735</v>
      </c>
    </row>
    <row r="433" spans="1:11" x14ac:dyDescent="0.25">
      <c r="A433" s="4"/>
      <c r="B433" s="4" t="s">
        <v>44</v>
      </c>
      <c r="C433" s="4">
        <v>247</v>
      </c>
      <c r="D433" s="4"/>
      <c r="E433" s="4" t="s">
        <v>44</v>
      </c>
      <c r="F433" s="4">
        <v>2231</v>
      </c>
    </row>
    <row r="434" spans="1:11" ht="21" x14ac:dyDescent="0.25">
      <c r="A434" s="4">
        <v>145</v>
      </c>
      <c r="B434" s="3" t="s">
        <v>187</v>
      </c>
      <c r="C434" s="4"/>
      <c r="D434" s="4">
        <v>146</v>
      </c>
      <c r="E434" s="3" t="s">
        <v>188</v>
      </c>
      <c r="F434" s="4"/>
    </row>
    <row r="435" spans="1:11" x14ac:dyDescent="0.25">
      <c r="A435" s="4"/>
      <c r="B435" s="4" t="s">
        <v>40</v>
      </c>
      <c r="C435" s="4">
        <v>800</v>
      </c>
      <c r="D435" s="4"/>
      <c r="E435" s="4" t="s">
        <v>40</v>
      </c>
      <c r="F435" s="4">
        <v>750</v>
      </c>
    </row>
    <row r="436" spans="1:11" ht="21" x14ac:dyDescent="0.25">
      <c r="A436" s="4"/>
      <c r="B436" s="4" t="s">
        <v>41</v>
      </c>
      <c r="C436" s="4">
        <v>800</v>
      </c>
      <c r="D436" s="4"/>
      <c r="E436" s="4" t="s">
        <v>41</v>
      </c>
      <c r="F436" s="4">
        <v>750</v>
      </c>
    </row>
    <row r="437" spans="1:11" x14ac:dyDescent="0.25">
      <c r="A437" s="4"/>
      <c r="B437" s="4" t="s">
        <v>42</v>
      </c>
      <c r="C437" s="4">
        <v>700</v>
      </c>
      <c r="D437" s="4"/>
      <c r="E437" s="4" t="s">
        <v>42</v>
      </c>
      <c r="F437" s="4">
        <v>750</v>
      </c>
    </row>
    <row r="438" spans="1:11" x14ac:dyDescent="0.25">
      <c r="A438" s="4"/>
      <c r="B438" s="4" t="s">
        <v>43</v>
      </c>
      <c r="C438" s="4">
        <v>1983</v>
      </c>
      <c r="D438" s="4"/>
      <c r="E438" s="4" t="s">
        <v>43</v>
      </c>
      <c r="F438" s="4">
        <v>750</v>
      </c>
    </row>
    <row r="439" spans="1:11" x14ac:dyDescent="0.25">
      <c r="A439" s="4"/>
      <c r="B439" s="4" t="s">
        <v>44</v>
      </c>
      <c r="C439" s="4">
        <v>1983</v>
      </c>
      <c r="D439" s="4"/>
      <c r="E439" s="4" t="s">
        <v>44</v>
      </c>
      <c r="F439" s="4">
        <v>750</v>
      </c>
    </row>
    <row r="440" spans="1:11" x14ac:dyDescent="0.25">
      <c r="A440" s="4">
        <v>147</v>
      </c>
      <c r="B440" s="3" t="s">
        <v>189</v>
      </c>
      <c r="C440" s="4"/>
      <c r="D440" s="4">
        <v>148</v>
      </c>
      <c r="E440" s="3" t="s">
        <v>190</v>
      </c>
      <c r="F440" s="4"/>
    </row>
    <row r="441" spans="1:11" x14ac:dyDescent="0.25">
      <c r="A441" s="4"/>
      <c r="B441" s="4" t="s">
        <v>40</v>
      </c>
      <c r="C441" s="4">
        <v>100</v>
      </c>
      <c r="D441" s="4"/>
      <c r="E441" s="4" t="s">
        <v>40</v>
      </c>
      <c r="F441" s="4">
        <v>300</v>
      </c>
    </row>
    <row r="442" spans="1:11" ht="21" x14ac:dyDescent="0.25">
      <c r="A442" s="4"/>
      <c r="B442" s="4" t="s">
        <v>41</v>
      </c>
      <c r="C442" s="4">
        <v>100</v>
      </c>
      <c r="D442" s="4"/>
      <c r="E442" s="4" t="s">
        <v>41</v>
      </c>
      <c r="F442" s="4">
        <v>250</v>
      </c>
    </row>
    <row r="443" spans="1:11" x14ac:dyDescent="0.25">
      <c r="A443" s="4"/>
      <c r="B443" s="4" t="s">
        <v>42</v>
      </c>
      <c r="C443" s="4">
        <v>100</v>
      </c>
      <c r="D443" s="4"/>
      <c r="E443" s="4" t="s">
        <v>42</v>
      </c>
      <c r="F443" s="4">
        <v>250</v>
      </c>
    </row>
    <row r="444" spans="1:11" x14ac:dyDescent="0.25">
      <c r="A444" s="4"/>
      <c r="B444" s="4" t="s">
        <v>43</v>
      </c>
      <c r="C444" s="4">
        <v>100</v>
      </c>
      <c r="D444" s="4"/>
      <c r="E444" s="4" t="s">
        <v>43</v>
      </c>
      <c r="F444" s="4">
        <v>400</v>
      </c>
    </row>
    <row r="445" spans="1:11" x14ac:dyDescent="0.25">
      <c r="A445" s="4"/>
      <c r="B445" s="4" t="s">
        <v>44</v>
      </c>
      <c r="C445" s="4">
        <v>100</v>
      </c>
      <c r="D445" s="4"/>
      <c r="E445" s="4" t="s">
        <v>44</v>
      </c>
      <c r="F445" s="4">
        <v>400</v>
      </c>
    </row>
    <row r="446" spans="1:11" ht="21" x14ac:dyDescent="0.25">
      <c r="A446" s="4">
        <v>149</v>
      </c>
      <c r="B446" s="3" t="s">
        <v>191</v>
      </c>
      <c r="C446" s="4"/>
      <c r="D446" s="4">
        <v>150</v>
      </c>
      <c r="E446" s="3" t="s">
        <v>192</v>
      </c>
      <c r="F446" s="4"/>
    </row>
    <row r="447" spans="1:11" x14ac:dyDescent="0.25">
      <c r="A447" s="4"/>
      <c r="B447" s="4" t="s">
        <v>40</v>
      </c>
      <c r="C447" s="4">
        <v>500</v>
      </c>
      <c r="D447" s="4"/>
      <c r="E447" s="4" t="s">
        <v>40</v>
      </c>
      <c r="F447" s="4">
        <v>500</v>
      </c>
      <c r="J447" s="9"/>
      <c r="K447" s="9"/>
    </row>
    <row r="448" spans="1:11" ht="21" x14ac:dyDescent="0.25">
      <c r="A448" s="4"/>
      <c r="B448" s="4" t="s">
        <v>41</v>
      </c>
      <c r="C448" s="4">
        <v>500</v>
      </c>
      <c r="D448" s="4"/>
      <c r="E448" s="4" t="s">
        <v>41</v>
      </c>
      <c r="F448" s="4">
        <v>500</v>
      </c>
      <c r="J448" s="9" t="s">
        <v>220</v>
      </c>
      <c r="K448" s="10">
        <f>600*10</f>
        <v>6000</v>
      </c>
    </row>
    <row r="449" spans="1:11" x14ac:dyDescent="0.25">
      <c r="A449" s="4"/>
      <c r="B449" s="4" t="s">
        <v>42</v>
      </c>
      <c r="C449" s="4">
        <v>500</v>
      </c>
      <c r="D449" s="4"/>
      <c r="E449" s="4" t="s">
        <v>42</v>
      </c>
      <c r="F449" s="4">
        <v>500</v>
      </c>
      <c r="J449" s="9"/>
      <c r="K449" s="10"/>
    </row>
    <row r="450" spans="1:11" x14ac:dyDescent="0.25">
      <c r="A450" s="4"/>
      <c r="B450" s="4" t="s">
        <v>43</v>
      </c>
      <c r="C450" s="4">
        <v>500</v>
      </c>
      <c r="D450" s="4"/>
      <c r="E450" s="4" t="s">
        <v>43</v>
      </c>
      <c r="F450" s="4">
        <v>500</v>
      </c>
      <c r="J450" s="9" t="s">
        <v>219</v>
      </c>
      <c r="K450" s="11">
        <f>365*24*60*60*0.5</f>
        <v>15768000</v>
      </c>
    </row>
    <row r="451" spans="1:11" x14ac:dyDescent="0.25">
      <c r="A451" s="4"/>
      <c r="B451" s="4" t="s">
        <v>44</v>
      </c>
      <c r="C451" s="4">
        <v>500</v>
      </c>
      <c r="D451" s="4"/>
      <c r="E451" s="4" t="s">
        <v>44</v>
      </c>
      <c r="F451" s="4">
        <v>500</v>
      </c>
      <c r="J451" s="9"/>
      <c r="K451" s="10"/>
    </row>
    <row r="452" spans="1:11" ht="21" x14ac:dyDescent="0.25">
      <c r="A452" s="4">
        <v>151</v>
      </c>
      <c r="B452" s="3" t="s">
        <v>193</v>
      </c>
      <c r="C452" s="4"/>
      <c r="D452" s="4">
        <v>152</v>
      </c>
      <c r="E452" s="3" t="s">
        <v>194</v>
      </c>
      <c r="F452" s="4"/>
      <c r="J452" s="9" t="s">
        <v>218</v>
      </c>
      <c r="K452" s="11">
        <f>365*24*60*60*0.25*1</f>
        <v>7884000</v>
      </c>
    </row>
    <row r="453" spans="1:11" ht="21" x14ac:dyDescent="0.25">
      <c r="A453" s="4">
        <v>153</v>
      </c>
      <c r="B453" s="3" t="s">
        <v>195</v>
      </c>
      <c r="C453" s="4"/>
      <c r="D453" s="4">
        <v>154</v>
      </c>
      <c r="E453" s="3" t="s">
        <v>196</v>
      </c>
      <c r="F453" s="4"/>
    </row>
    <row r="454" spans="1:11" ht="31.5" x14ac:dyDescent="0.25">
      <c r="A454" s="4">
        <v>155</v>
      </c>
      <c r="B454" s="3" t="s">
        <v>197</v>
      </c>
      <c r="C454" s="4"/>
      <c r="D454" s="4">
        <v>156</v>
      </c>
      <c r="E454" s="3" t="s">
        <v>198</v>
      </c>
      <c r="F454" s="4"/>
    </row>
    <row r="455" spans="1:11" x14ac:dyDescent="0.25">
      <c r="A455" s="4"/>
      <c r="B455" s="4"/>
      <c r="C455" s="4"/>
      <c r="D455" s="4"/>
      <c r="E455" s="4" t="s">
        <v>199</v>
      </c>
      <c r="F455" s="4">
        <v>800</v>
      </c>
    </row>
    <row r="456" spans="1:11" ht="21" x14ac:dyDescent="0.25">
      <c r="A456" s="4"/>
      <c r="B456" s="4"/>
      <c r="C456" s="4"/>
      <c r="D456" s="4"/>
      <c r="E456" s="4" t="s">
        <v>200</v>
      </c>
      <c r="F456" s="4">
        <v>600</v>
      </c>
    </row>
    <row r="457" spans="1:11" ht="21" x14ac:dyDescent="0.25">
      <c r="A457" s="4"/>
      <c r="B457" s="4"/>
      <c r="C457" s="4"/>
      <c r="D457" s="4"/>
      <c r="E457" s="4" t="s">
        <v>201</v>
      </c>
      <c r="F457" s="4">
        <v>800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Goldenhour Systems Pvt Ltd</vt:lpstr>
      <vt:lpstr>VIsion Mission Purpose</vt:lpstr>
      <vt:lpstr>Bussiness -Revenue Model</vt:lpstr>
      <vt:lpstr>Projections &amp; Estimations</vt:lpstr>
      <vt:lpstr>Calculations</vt:lpstr>
      <vt:lpstr>Tesla Comparisons for Range</vt:lpstr>
      <vt:lpstr>Space selling Rates 0910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 Thackeray</dc:creator>
  <cp:lastModifiedBy>Hemant Thackeray</cp:lastModifiedBy>
  <dcterms:created xsi:type="dcterms:W3CDTF">2022-03-03T03:56:33Z</dcterms:created>
  <dcterms:modified xsi:type="dcterms:W3CDTF">2022-03-10T14:06:23Z</dcterms:modified>
</cp:coreProperties>
</file>