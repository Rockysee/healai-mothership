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hemantithackeray/Desktop/Hemant's Stack/Healai/"/>
    </mc:Choice>
  </mc:AlternateContent>
  <xr:revisionPtr revIDLastSave="0" documentId="8_{0945219F-893D-9644-AA7B-83384968A332}" xr6:coauthVersionLast="47" xr6:coauthVersionMax="47" xr10:uidLastSave="{00000000-0000-0000-0000-000000000000}"/>
  <bookViews>
    <workbookView xWindow="0" yWindow="740" windowWidth="30240" windowHeight="18900" tabRatio="500" activeTab="7" xr2:uid="{00000000-000D-0000-FFFF-FFFF00000000}"/>
  </bookViews>
  <sheets>
    <sheet name="① RED.Health Analysis" sheetId="1" r:id="rId1"/>
    <sheet name="② The Niche" sheetId="2" r:id="rId2"/>
    <sheet name="③ GoldenOS Product" sheetId="3" r:id="rId3"/>
    <sheet name="④ GSPL vs RED.Health" sheetId="4" r:id="rId4"/>
    <sheet name="⑤ Claude AI Cost Model" sheetId="5" r:id="rId5"/>
    <sheet name="⑥ Market &amp; Share" sheetId="6" r:id="rId6"/>
    <sheet name="⑦ Learning from RED" sheetId="7" r:id="rId7"/>
    <sheet name="⑧ 90-Day Execution"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1" i="6" l="1"/>
  <c r="F10" i="6"/>
  <c r="F9" i="6"/>
  <c r="F8" i="6"/>
  <c r="F7" i="6"/>
  <c r="F6" i="6"/>
  <c r="F5" i="6"/>
  <c r="H22" i="5"/>
  <c r="G22" i="5"/>
  <c r="F22" i="5"/>
  <c r="E22" i="5"/>
  <c r="D22" i="5"/>
  <c r="H14" i="5"/>
  <c r="G14" i="5"/>
  <c r="F14" i="5"/>
  <c r="E14" i="5"/>
  <c r="D14" i="5"/>
  <c r="H6" i="5"/>
  <c r="H24" i="5" s="1"/>
  <c r="G6" i="5"/>
  <c r="G24" i="5" s="1"/>
  <c r="F6" i="5"/>
  <c r="F24" i="5" s="1"/>
  <c r="E6" i="5"/>
  <c r="E24" i="5" s="1"/>
  <c r="D6" i="5"/>
  <c r="D24" i="5" s="1"/>
  <c r="D15" i="5" l="1"/>
  <c r="D23" i="5"/>
  <c r="D25" i="5" s="1"/>
  <c r="D26" i="5" s="1"/>
  <c r="E15" i="5"/>
  <c r="E23" i="5"/>
  <c r="E25" i="5" s="1"/>
  <c r="E26" i="5" s="1"/>
  <c r="F15" i="5"/>
  <c r="F23" i="5"/>
  <c r="F25" i="5" s="1"/>
  <c r="F26" i="5" s="1"/>
  <c r="G15" i="5"/>
  <c r="G23" i="5"/>
  <c r="G25" i="5" s="1"/>
  <c r="G26" i="5" s="1"/>
  <c r="H15" i="5"/>
  <c r="H23" i="5"/>
  <c r="H25" i="5" s="1"/>
  <c r="H26" i="5" s="1"/>
  <c r="H27" i="5" l="1"/>
  <c r="G27" i="5"/>
  <c r="F27" i="5"/>
  <c r="E27" i="5"/>
  <c r="D27" i="5"/>
</calcChain>
</file>

<file path=xl/sharedStrings.xml><?xml version="1.0" encoding="utf-8"?>
<sst xmlns="http://schemas.openxmlformats.org/spreadsheetml/2006/main" count="382" uniqueCount="372">
  <si>
    <t>RED.HEALTH (fmr. STANPLUS)  ·  DEEP COMPETITIVE ANALYSIS</t>
  </si>
  <si>
    <t>Founded 2016 · Hyderabad · CEO Prabhdeep Singh · Rebranded Jan 2023 · $43M total funding · Revenue ₹100 Cr (FY24)</t>
  </si>
  <si>
    <t xml:space="preserve">  RED.HEALTH FINANCIALS  ·  Scaling Revenue, Scaling Losses</t>
  </si>
  <si>
    <t>Metric</t>
  </si>
  <si>
    <t>FY22</t>
  </si>
  <si>
    <t>FY23</t>
  </si>
  <si>
    <t>FY24E</t>
  </si>
  <si>
    <t>Revenue (₹ Cr)</t>
  </si>
  <si>
    <t>46.1</t>
  </si>
  <si>
    <t>67.0</t>
  </si>
  <si>
    <t>~100</t>
  </si>
  <si>
    <t>Revenue Growth</t>
  </si>
  <si>
    <t>—</t>
  </si>
  <si>
    <t>45%</t>
  </si>
  <si>
    <t>~49%</t>
  </si>
  <si>
    <t>Net Loss (₹ Cr)</t>
  </si>
  <si>
    <t>1.5</t>
  </si>
  <si>
    <t>31.7</t>
  </si>
  <si>
    <t>Est. 40–50</t>
  </si>
  <si>
    <t>Loss Ratio (Loss/Rev)</t>
  </si>
  <si>
    <t>3%</t>
  </si>
  <si>
    <t>47%</t>
  </si>
  <si>
    <t>~40–50%</t>
  </si>
  <si>
    <t>Total Funding</t>
  </si>
  <si>
    <t>$20M Series A</t>
  </si>
  <si>
    <t>$43M cumulative</t>
  </si>
  <si>
    <t>Fleet Size (claimed)</t>
  </si>
  <si>
    <t>~500 own + partners</t>
  </si>
  <si>
    <t>5,000+ partner network</t>
  </si>
  <si>
    <t>Cities</t>
  </si>
  <si>
    <t>~12</t>
  </si>
  <si>
    <t>~15</t>
  </si>
  <si>
    <t>20 (target 50)</t>
  </si>
  <si>
    <t>Hospital Partners</t>
  </si>
  <si>
    <t>~50</t>
  </si>
  <si>
    <t>~80</t>
  </si>
  <si>
    <t>100+ (target 500)</t>
  </si>
  <si>
    <t>Employees</t>
  </si>
  <si>
    <t>~800</t>
  </si>
  <si>
    <t>~1,000</t>
  </si>
  <si>
    <t>~1,200</t>
  </si>
  <si>
    <t xml:space="preserve">  RED.HEALTH 4 BUSINESS VERTICALS  ·  Post-Rebrand Strategy</t>
  </si>
  <si>
    <t>Vertical</t>
  </si>
  <si>
    <t>Description</t>
  </si>
  <si>
    <t>Revenue Model</t>
  </si>
  <si>
    <t>GSPL Threat Assessment</t>
  </si>
  <si>
    <t>RED Ambulances</t>
  </si>
  <si>
    <t>5,000+ partner fleet + own ALS ambulances. Covers BLS, ALS, air ambulance, medical taxi. 20 cities.</t>
  </si>
  <si>
    <t>B2C trip fees (₹500–8,000) + B2B hospital contracts</t>
  </si>
  <si>
    <t>DIRECT COMPETITOR — but fleet-heavy, asset-heavy. Burns cash per trip.</t>
  </si>
  <si>
    <t>RED Assist</t>
  </si>
  <si>
    <t>CAMO (Centralised Ambulance Mgmt &amp; Outsourcing) for hospitals + Doctor-on-call for corporates.</t>
  </si>
  <si>
    <t>SaaS subscription to hospitals + corporate retainer</t>
  </si>
  <si>
    <t>OVERLAPS with GSPL SaaS ambition. RED has first-mover. GSPL needs differentiation.</t>
  </si>
  <si>
    <t>RED Priority Clinics</t>
  </si>
  <si>
    <t>Day-to-day health advisory. Consultation, diagnosis, preventive checks, medicine delivery. Integrate with corporate OHCs.</t>
  </si>
  <si>
    <t>Consultation fees + corporate wellness contracts</t>
  </si>
  <si>
    <t>NEW ADJACENCY — GSPL not here yet. Don't Die could compete at premium tier.</t>
  </si>
  <si>
    <t>RED Academy</t>
  </si>
  <si>
    <t>Emergency response training for paramedics. 'Golden Hour' training. Aims to build paramedic supply chain.</t>
  </si>
  <si>
    <t>Training fees + recruitment pipeline</t>
  </si>
  <si>
    <t>DIRECT OVERLAP — both GSPL and RED want to own paramedic training.</t>
  </si>
  <si>
    <t xml:space="preserve">  RED.HEALTH SWOT  ·  Where Are The Gaps GSPL Can Exploit?</t>
  </si>
  <si>
    <t>Strengths</t>
  </si>
  <si>
    <t>Weaknesses</t>
  </si>
  <si>
    <t>Opportunities (for RED)</t>
  </si>
  <si>
    <t>Threats (to RED = GSPL's Opening)</t>
  </si>
  <si>
    <t>$43M funded — most funded EMS startup in India</t>
  </si>
  <si>
    <t>Losses 20× in one year (₹1.5→31.7 Cr). Cash burn unsustainable at scale.</t>
  </si>
  <si>
    <t>India's 113,000 ambulance gap = massive TAM</t>
  </si>
  <si>
    <t>AI-native competitor (GSPL) can do more with less capex</t>
  </si>
  <si>
    <t>5,000+ fleet (mostly partner/aggregated)</t>
  </si>
  <si>
    <t>Asset-heavy — owns ALS ambulances = high fixed cost. Aggregation = low quality control.</t>
  </si>
  <si>
    <t>ABDM integration (834M ABHA IDs) = data lock-in</t>
  </si>
  <si>
    <t>Government contracts (108) going to incumbents like Ziqitza, BVG — not RED</t>
  </si>
  <si>
    <t>100+ hospital partners in 20 cities</t>
  </si>
  <si>
    <t>No proprietary AI/ML layer — dispatch is rule-based, not predictive</t>
  </si>
  <si>
    <t>Corporate wellness (RED Clinics) is a new high-margin adjacency</t>
  </si>
  <si>
    <t>Claude AI + FHIR integration = GSPL can leapfrog RED's tech stack</t>
  </si>
  <si>
    <t>Strong brand: 'RED' = emergency</t>
  </si>
  <si>
    <t>Reported salary delays + employee retention issues (Morning Context/Mint)</t>
  </si>
  <si>
    <t>Series C or IPO in 2–3 years if unit economics improve</t>
  </si>
  <si>
    <t>If GSPL owns PCR data layer + ABDM, RED becomes a 'dumb pipe' for transport</t>
  </si>
  <si>
    <t>Prabhdeep Singh = credible founder, good VC network</t>
  </si>
  <si>
    <t>Spread thin: 4 verticals launched simultaneously. No focus.</t>
  </si>
  <si>
    <t>International expansion (SE Asia, Africa)</t>
  </si>
  <si>
    <t>Niche dominance &gt; broad mediocrity. GSPL can out-execute on 1 wedge.</t>
  </si>
  <si>
    <t>THE NICHE  ·  GSPL Becomes India's AI-Powered EMS Intelligence Layer</t>
  </si>
  <si>
    <t>Don't compete with RED.Health on fleet. Compete on INTELLIGENCE. Own the brain, not the body.</t>
  </si>
  <si>
    <t xml:space="preserve">  THE STRATEGIC INSIGHT  ·  What South Korea Proved + What Claude AI Enables</t>
  </si>
  <si>
    <t>THE SOUTH KOREA PROOF</t>
  </si>
  <si>
    <t>Korea's ambulance AI platform uses 10 AI models: voice→structured clinical records, patient deterioration prediction, pre-triage severity scoring from ambulance CCTV, and hospital transfer recommendation. Paramedics scored it 86/100 in field tests. This is the future of EMS — and nobody in India is building it.</t>
  </si>
  <si>
    <t>GSPL opportunity: Build India's first AI EMS Intelligence Platform powered by Claude API. Korea proved it works. India has 0 competitors in this space.</t>
  </si>
  <si>
    <t>RED.HEALTH'S BLIND SPOT</t>
  </si>
  <si>
    <t>RED.Health is an OPERATIONS company. They own/aggregate ambulances and dispatch them. Their 'tech' is a GPS fleet tracker + rule-based dispatch. No AI. No clinical decision support. No predictive triage. No PCR-to-ABDM data pipeline. They're Uber for ambulances — but Uber without surge pricing intelligence.</t>
  </si>
  <si>
    <t>RED's $43M is locked in ambulances, not algorithms. GSPL can be the 'Stripe' (intelligence layer) that powers RED and every other ambulance operator in India.</t>
  </si>
  <si>
    <t>CLAUDE AI = THE WEAPON</t>
  </si>
  <si>
    <t>Anthropic launched Claude for Healthcare (Jan 2026): HIPAA-ready API, FHIR development skill, clinical decision support, ICD-10 lookup, NPI registry, PubMed search. Haiku 4.5 costs $1/$5 per M tokens. For a PCR triage call: ~2,000 tokens in + ~1,000 out = ₹0.50 per patient. At 10,000 trips/day = ₹5,000/day = ₹1.5L/month.</t>
  </si>
  <si>
    <t>GSPL embeds Claude into every ambulance interaction: dispatch triage, en-route clinical support, hospital matching, PCR auto-documentation, ABDM health record creation. Cost: negligible. Value: transformational.</t>
  </si>
  <si>
    <t>ABDM = THE LOCK-IN</t>
  </si>
  <si>
    <t>834M Indians have ABHA IDs. 530M+ health records digitized. ABDM sandbox API onboarding takes &lt;1 week for startups. BUT: Zero ambulance companies have integrated with ABDM yet. PCR data (the richest acute-care dataset) is not flowing into ABDM.</t>
  </si>
  <si>
    <t>GSPL becomes the FIRST company to push real-time PCR data into ABDM. Every patient treated by a GSPL-powered ambulance gets a permanent digital health record. This creates: (a) regulatory moat, (b) data asset, (c) government goodwill, (d) insurance integration.</t>
  </si>
  <si>
    <t>THE NICHE DEFINED</t>
  </si>
  <si>
    <t>GSPL is NOT an ambulance company. GSPL is an AI-powered EMS Intelligence Platform. It sells SaaS + API + data to: (1) ambulance operators (including RED.Health), (2) hospitals, (3) insurers, (4) government, (5) pharma. The ambulance fleet is just the proof-of-concept — not the product.</t>
  </si>
  <si>
    <t>Product = 'GoldenOS' — The Operating System of India's Emergency Medicine. Every ambulance, regardless of owner, runs on GoldenOS. Like Android for phones. GSPL doesn't need to own ambulances. It needs to own the intelligence layer.</t>
  </si>
  <si>
    <t>GOLDENOS  ·  The AI-Powered EMS Intelligence Platform  ·  Product Architecture</t>
  </si>
  <si>
    <t xml:space="preserve">  PLATFORM LAYERS  ·  5 Products  ·  1 Platform  ·  Powered by Claude AI</t>
  </si>
  <si>
    <t>Layer / Product</t>
  </si>
  <si>
    <t>What It Does</t>
  </si>
  <si>
    <t>Claude AI Integration</t>
  </si>
  <si>
    <t>🧠 Layer 1:
GoldenOS Dispatch AI</t>
  </si>
  <si>
    <t>AI-powered ambulance dispatch. Replaces rule-based routing. Predicts: (a) optimal ambulance for patient acuity, (b) fastest route accounting for real-time traffic, (c) best-fit hospital based on bed availability + speciality match + insurance acceptance.</t>
  </si>
  <si>
    <t>Claude Haiku for real-time triage from call transcript. 'Patient describes chest pain + sweating + left arm numbness' → Claude classifies as STEMI → routes to nearest cath lab, not just nearest hospital. &lt;3 sec response, ₹0.50/call.</t>
  </si>
  <si>
    <t>SaaS to ambulance operators: ₹50K–2L/ambulance/year. To RED.Health (150 owned ambulances) = ₹75L–3Cr/year from ONE customer.</t>
  </si>
  <si>
    <t>📋 Layer 2:
GoldenOS PCR Engine</t>
  </si>
  <si>
    <t>AI-assisted Pre-Hospital Care Record. Paramedic speaks into phone during transport. Claude converts speech→structured clinical record in real-time. Auto-fills: chief complaint, vitals, GCS, interventions, drug admin, timeline. Pushes to ABDM via ABHA ID.</t>
  </si>
  <si>
    <t>Claude Sonnet for medical speech→structured data. Voice: 'Patient BP 90/60, pulse thready, started NS bolus 500ml, ETA 4 min' → structured PCR fields auto-populated. Saves paramedic 12 min of paperwork per run. Accuracy: &gt;95% on clinical terms.</t>
  </si>
  <si>
    <t>Per-run fee: ₹25–50/PCR record. At 10K runs/day across network = ₹2.5–5L/day = ₹7.5–15Cr/year. Or bundled into SaaS.</t>
  </si>
  <si>
    <t>🏥 Layer 3:
GoldenOS Hospital Hub</t>
  </si>
  <si>
    <t>Hospital-facing SaaS. Real-time incoming patient dashboard: who is en route, what's their condition (from PCR AI), ETA, insurance status, bed match. Hospital ED can prepare BEFORE patient arrives. Reduces ED triage time by est. 40%.</t>
  </si>
  <si>
    <t>Claude processes PCR + patient history (via ABDM) and generates pre-arrival brief: 'Male, 55, suspected STEMI, vitals declining, allergic to aspirin, insurance: Star Health Gold, nearest cath lab bed available in Ward 3B.' Hospital gets this 8 min before arrival.</t>
  </si>
  <si>
    <t>SaaS: ₹2–5L/hospital/year + premium for real-time AI brief (₹500/patient). 200 hospitals × ₹3L = ₹6Cr base + ₹500 × 50K patients = ₹2.5Cr premium.</t>
  </si>
  <si>
    <t>🛡️ Layer 4:
GoldenOS Claims API</t>
  </si>
  <si>
    <t>Insurance integration layer. Every PCR record = a verifiable, timestamped, GPS-tagged claim evidence packet. Insurer gets: scene photos, vitals timeline, drug administered, hospital handover signature — all digitally signed and tamper-proof.</t>
  </si>
  <si>
    <t>Claude reviews claim packet and generates: (a) ICD-10 code suggestion from PCR narrative, (b) fraud risk score (0–100) based on anomalies, (c) auto-populated claim form for insurer's system. Reduces claim processing from 30 days → 48 hrs.</t>
  </si>
  <si>
    <t>API fee: ₹100–300/claim processed. 2L claims/year = ₹2–6Cr. Or annual API subscription: ₹50L/insurer/year.</t>
  </si>
  <si>
    <t>🎓 Layer 5:
GoldenOS Academy</t>
  </si>
  <si>
    <t>AI-powered paramedic training platform. Claude generates personalised training modules, simulates patient scenarios, grades PCR documentation quality, and provides real-time coaching during live runs via earpiece.</t>
  </si>
  <si>
    <t>Claude as AI tutor: 'You classified this patient as Priority 2 but vitals show GCS &lt;8 — this should be Priority 1. Here's why...' Adaptive difficulty. Tracks competency across 47 clinical skills. Certification exam prep with AI mock patients.</t>
  </si>
  <si>
    <t>₹30K/student (3-month course) + ₹5K/month for ongoing AI coaching subscription. 5,000 students/yr = ₹15Cr training + ₹3Cr coaching subscriptions.</t>
  </si>
  <si>
    <t xml:space="preserve">  BUNDLE PRICING  ·  3 Tiers for Different Buyers</t>
  </si>
  <si>
    <t>Tier Name</t>
  </si>
  <si>
    <t>Included Layers</t>
  </si>
  <si>
    <t>Target Buyer</t>
  </si>
  <si>
    <t>Annual Price</t>
  </si>
  <si>
    <t>GoldenOS LITE</t>
  </si>
  <si>
    <t>Dispatch AI only (Layer 1)</t>
  </si>
  <si>
    <t>Small private ambulance operators (1–20 vehicles)</t>
  </si>
  <si>
    <t>₹50K/ambulance/yr
(Min: ₹2.5L for 5 vehicles)</t>
  </si>
  <si>
    <t>GoldenOS PRO</t>
  </si>
  <si>
    <t>Dispatch AI + PCR Engine + Hospital Hub
(Layers 1+2+3)</t>
  </si>
  <si>
    <t>Mid-size operators (20–200 vehicles)
+ Hospital chains</t>
  </si>
  <si>
    <t>₹1.5L/ambulance/yr
+ ₹3L/hospital/yr</t>
  </si>
  <si>
    <t>GoldenOS ENTERPRISE</t>
  </si>
  <si>
    <t>All 5 layers + Claims API + Academy
+ dedicated success manager</t>
  </si>
  <si>
    <t>Government 108 operators + Large hospital systems
+ Insurance companies</t>
  </si>
  <si>
    <t>Custom: ₹50L–5Cr/year
per state-level deployment</t>
  </si>
  <si>
    <t>GSPL vs RED.HEALTH  ·  Intelligence vs Operations  ·  David vs Goliath Playbook</t>
  </si>
  <si>
    <t xml:space="preserve">  HEAD-TO-HEAD COMPARISON  ·  17 Dimensions</t>
  </si>
  <si>
    <t>Dimension</t>
  </si>
  <si>
    <t>RED.Health (StanPlus)</t>
  </si>
  <si>
    <t>GSPL / GoldenOS (Proposed)</t>
  </si>
  <si>
    <t>Core Identity</t>
  </si>
  <si>
    <t>Ambulance OPERATOR
(Owns/aggregates fleet, dispatches)</t>
  </si>
  <si>
    <t>EMS INTELLIGENCE PLATFORM
(Sells AI + SaaS to operators)</t>
  </si>
  <si>
    <t>Business Model</t>
  </si>
  <si>
    <t>B2C trip revenue + B2B hospital contracts
(Low margin, high volume)</t>
  </si>
  <si>
    <t>B2B SaaS + API + data monetisation
(High margin, recurring, compounding)</t>
  </si>
  <si>
    <t>Funding Required</t>
  </si>
  <si>
    <t>HEAVY — needs ₹50Cr+ for ambulances, staff, city expansion</t>
  </si>
  <si>
    <t>LIGHT — needs ₹5–10Cr for AI platform, 10 ambulances for proof-of-concept</t>
  </si>
  <si>
    <t>Gross Margin</t>
  </si>
  <si>
    <t>~25–35% (transport operations)</t>
  </si>
  <si>
    <t>~70–85% (SaaS + API + data)</t>
  </si>
  <si>
    <t>AI / ML Layer</t>
  </si>
  <si>
    <t>NONE — rule-based GPS dispatch.
No clinical AI, no predictive triage.</t>
  </si>
  <si>
    <t>CLAUDE AI native — dispatch triage, PCR voice→text, clinical decision support, ICD-10 coding, fraud scoring</t>
  </si>
  <si>
    <t>PCR / Clinical Data</t>
  </si>
  <si>
    <t>Basic digital forms. Not structured.
Not pushed to ABDM.</t>
  </si>
  <si>
    <t>AI-structured PCR (voice→data). Auto-ABDM push.
Richest pre-hospital dataset in India.</t>
  </si>
  <si>
    <t>ABDM Integration</t>
  </si>
  <si>
    <t>NOT INTEGRATED.
834M ABHA IDs, zero ambulance data flowing in.</t>
  </si>
  <si>
    <t>FIRST-MOVER on ABDM integration.
Every trip creates permanent health record.</t>
  </si>
  <si>
    <t>Hospital Value Prop</t>
  </si>
  <si>
    <t>'We bring patients to you.'</t>
  </si>
  <si>
    <t>'We bring PRE-DIAGNOSED patients with full clinical brief 8 min before arrival.'</t>
  </si>
  <si>
    <t>Insurance Value</t>
  </si>
  <si>
    <t>None — no structured claim data</t>
  </si>
  <si>
    <t>Claims API: timestamped, GPS-verified, ICD-10 coded, fraud-scored evidence packets</t>
  </si>
  <si>
    <t>Scalability</t>
  </si>
  <si>
    <t>LINEAR — 1 more city = 50 more ambulances + 150 staff + ₹5Cr capex</t>
  </si>
  <si>
    <t>EXPONENTIAL — 1 more city = software deployment + local ambulance partners</t>
  </si>
  <si>
    <t>Competitor Stance</t>
  </si>
  <si>
    <t>Compete with every ambulance operator</t>
  </si>
  <si>
    <t>PARTNER with every ambulance operator (including RED.Health)</t>
  </si>
  <si>
    <t>Moat</t>
  </si>
  <si>
    <t>Fleet size (replicable) + brand (strong)</t>
  </si>
  <si>
    <t>DATA + ABDM lock-in + Network effects + AI model trained on Indian EMS data</t>
  </si>
  <si>
    <t>Unit Economics</t>
  </si>
  <si>
    <t>₹1,200 revenue/trip – ₹900 cost = ₹300 contribution margin</t>
  </si>
  <si>
    <t>₹50K SaaS/ambulance/yr ÷ 365 = ₹137/day/vehicle. Zero variable cost per trip.</t>
  </si>
  <si>
    <t>Cash Burn Pattern</t>
  </si>
  <si>
    <t>Burns cash every day fleet operates</t>
  </si>
  <si>
    <t>Cash-flow positive after 50 SaaS clients (breakeven ~Month 18)</t>
  </si>
  <si>
    <t>Time to Market</t>
  </si>
  <si>
    <t>2–3 years to reach 50 cities</t>
  </si>
  <si>
    <t>3–6 months to deploy in any city (partner with existing operators)</t>
  </si>
  <si>
    <t>Acquisition Potential</t>
  </si>
  <si>
    <t>Acqui-hireable by hospital chains or Ziqitza</t>
  </si>
  <si>
    <t>STRATEGIC acquisition target for: ABDM/NHA, large insurers, global EMS platforms</t>
  </si>
  <si>
    <t>VC Pitch</t>
  </si>
  <si>
    <t>'India's largest ambulance network'
(Capital intensive, profitability unclear)</t>
  </si>
  <si>
    <t>'India's EMS intelligence layer — the ABDM of emergency medicine'
(SaaS margins, AI moat, platform play)</t>
  </si>
  <si>
    <t>CLAUDE AI COST MODEL  ·  Why AI-Native EMS is Economically Unbeatable</t>
  </si>
  <si>
    <t>All costs in ₹ unless stated</t>
  </si>
  <si>
    <t>FY2026E</t>
  </si>
  <si>
    <t>FY2027E</t>
  </si>
  <si>
    <t>FY2028E</t>
  </si>
  <si>
    <t>FY2029E</t>
  </si>
  <si>
    <t>FY2030E</t>
  </si>
  <si>
    <t xml:space="preserve">  TRIP VOLUME ASSUMPTIONS</t>
  </si>
  <si>
    <t>GoldenOS ambulances on platform</t>
  </si>
  <si>
    <t>Avg trips/ambulance/day</t>
  </si>
  <si>
    <t>Total trips/year (000s)</t>
  </si>
  <si>
    <t xml:space="preserve">  CLAUDE AI COST PER TRIP  (Haiku 4.5: $1/$5 per M tokens)</t>
  </si>
  <si>
    <t>Tokens IN per trip (dispatch+triage)</t>
  </si>
  <si>
    <t>Tokens OUT per trip (triage result)</t>
  </si>
  <si>
    <t>Tokens IN per PCR (voice→record)</t>
  </si>
  <si>
    <t>Tokens OUT per PCR (structured data)</t>
  </si>
  <si>
    <t>USD/INR exchange rate</t>
  </si>
  <si>
    <t>Claude AI cost per trip (₹)</t>
  </si>
  <si>
    <t>Total Claude AI cost (₹ Cr/yr)</t>
  </si>
  <si>
    <t xml:space="preserve">  REVENUE FROM SAME TRIPS  (GoldenOS SaaS + PCR + Hospital + Claims)</t>
  </si>
  <si>
    <t>SaaS revenue per ambulance/yr (₹)</t>
  </si>
  <si>
    <t>Hospital brief premium (₹/patient)</t>
  </si>
  <si>
    <t>Insurance claim API fee (₹/claim)</t>
  </si>
  <si>
    <t>% of trips generating claim</t>
  </si>
  <si>
    <t>SaaS Revenue (₹ Cr)</t>
  </si>
  <si>
    <t>Hospital Premium Revenue (₹ Cr)</t>
  </si>
  <si>
    <t>Insurance API Revenue (₹ Cr)</t>
  </si>
  <si>
    <t>TOTAL GoldenOS Revenue (₹ Cr)</t>
  </si>
  <si>
    <t>Claude AI cost as % of revenue</t>
  </si>
  <si>
    <t>Revenue ÷ AI Cost (multiplier)</t>
  </si>
  <si>
    <t>KEY INSIGHT: Claude AI costs &lt;3% of revenue at scale. For every ₹1 spent on AI, GSPL earns ₹30–50 in SaaS + API revenue. RED.Health spends ₹900 in operating cost per ₹1,200 trip revenue (25% margin). GoldenOS spends ₹1.05 in AI cost to generate ₹137 in daily SaaS value per ambulance (99% margin on the AI layer).</t>
  </si>
  <si>
    <t>TAM / SAM / SOM  ·  Why GoldenOS Can Be a ₹500 Cr ARR Business by 2030</t>
  </si>
  <si>
    <t xml:space="preserve">  TOTAL ADDRESSABLE MARKET (TAM)</t>
  </si>
  <si>
    <t>Market Segment</t>
  </si>
  <si>
    <t>India Market Size (₹Cr)</t>
  </si>
  <si>
    <t>CAGR</t>
  </si>
  <si>
    <t>GoldenOS Addressable %</t>
  </si>
  <si>
    <t>SAM (₹Cr)</t>
  </si>
  <si>
    <t>India Ambulance Services (2024)</t>
  </si>
  <si>
    <t>12%</t>
  </si>
  <si>
    <t>India Hospital IT / EMS SaaS</t>
  </si>
  <si>
    <t>18%</t>
  </si>
  <si>
    <t>India Health Insurance Claims Tech</t>
  </si>
  <si>
    <t>22%</t>
  </si>
  <si>
    <t>India Paramedic Training</t>
  </si>
  <si>
    <t>25%</t>
  </si>
  <si>
    <t>India Digital Health (ABDM ecosystem)</t>
  </si>
  <si>
    <t>30%</t>
  </si>
  <si>
    <t>Don't Die / Longevity (India HNI)</t>
  </si>
  <si>
    <t>35%</t>
  </si>
  <si>
    <t>TOTAL SAM</t>
  </si>
  <si>
    <t xml:space="preserve">  SERVICEABLE OBTAINABLE MARKET (SOM)  ·  What GSPL Can Realistically Capture</t>
  </si>
  <si>
    <t>Year</t>
  </si>
  <si>
    <t>SOM (₹ Cr)</t>
  </si>
  <si>
    <t>Market Share of SAM</t>
  </si>
  <si>
    <t>Key Milestone</t>
  </si>
  <si>
    <t>Implied Valuation (10× Revenue)</t>
  </si>
  <si>
    <t>0.5</t>
  </si>
  <si>
    <t>&lt;1%</t>
  </si>
  <si>
    <t>10 ambulances + 3 hospital SaaS pilots</t>
  </si>
  <si>
    <t>₹5 Cr (seed stage)</t>
  </si>
  <si>
    <t>8</t>
  </si>
  <si>
    <t>~1%</t>
  </si>
  <si>
    <t>200 ambulances on GoldenOS + ABDM integration live</t>
  </si>
  <si>
    <t>₹80 Cr (Series A)</t>
  </si>
  <si>
    <t>50</t>
  </si>
  <si>
    <t>~5%</t>
  </si>
  <si>
    <t>800 ambulances + 1 govt contract + insurance API live</t>
  </si>
  <si>
    <t>₹500 Cr (Series B)</t>
  </si>
  <si>
    <t>180</t>
  </si>
  <si>
    <t>~15%</t>
  </si>
  <si>
    <t>3,000 ambulances + 3 state govts + 5 insurers</t>
  </si>
  <si>
    <t>₹1,800 Cr (Series C)</t>
  </si>
  <si>
    <t>500</t>
  </si>
  <si>
    <t>~30%</t>
  </si>
  <si>
    <t>15,000 ambulances + national ABDM default + IPO-ready</t>
  </si>
  <si>
    <t>₹5,000 Cr (pre-IPO)</t>
  </si>
  <si>
    <t>WHAT TO LEARN FROM RED.HEALTH  ·  AND WHAT TO DO DIFFERENTLY</t>
  </si>
  <si>
    <t xml:space="preserve">  LESSONS FROM RED.HEALTH'S JOURNEY (2016–2026)</t>
  </si>
  <si>
    <t>RED.Health Decision</t>
  </si>
  <si>
    <t>What Happened</t>
  </si>
  <si>
    <t>GSPL's Counter-Strategy</t>
  </si>
  <si>
    <t>Own the fleet (500+ ALS ambulances)</t>
  </si>
  <si>
    <t>Built operational credibility BUT: ₹30L+ per ALS ambulance × 500 = ₹150Cr+ capex. Now asset-heavy, cash-burning. Losses grew from ₹1.5Cr to ₹31.7Cr in one year. Salary delay reports surfaced.</t>
  </si>
  <si>
    <t>DO NOT own fleet beyond 10 proof-of-concept units. GoldenOS is SOFTWARE. Partner with existing 28,000 ambulances in India. GSPL is the OS, not the hardware.</t>
  </si>
  <si>
    <t>Rebrand from StanPlus → RED.Health</t>
  </si>
  <si>
    <t>Smart move. 'RED' = emergency = memorable. But 4 verticals launched simultaneously (Ambulances, Assist, Clinics, Academy) diluted focus. Classic startup mistake: trying to be everything.</t>
  </si>
  <si>
    <t>GSPL launches ONE product: GoldenOS Dispatch AI. Prove it in 10 ambulances. Then add layers. Discipline &gt; diversification in early stage.</t>
  </si>
  <si>
    <t>Aggregate partner ambulances (5,000+)</t>
  </si>
  <si>
    <t>Scaled fleet numbers fast BUT quality control is nightmare. Partner ambulances have inconsistent equipment, training, cleanliness. RED's brand takes hit for partner failures.</t>
  </si>
  <si>
    <t>GoldenOS doesn't aggregate ambulances — it UPGRADES them. Install GoldenOS tablet + software in ANY ambulance. Standardise the intelligence layer, not the vehicle. Quality comes from AI protocol, not fleet ownership.</t>
  </si>
  <si>
    <t>Revenue from patient trip fees</t>
  </si>
  <si>
    <t>₹100Cr FY24 revenue sounds impressive BUT at ₹1,200 avg trip with ~25% margin = ₹300 contribution. Need 300K+ trips/year just to cover fixed costs. Low-margin, high-volume trap.</t>
  </si>
  <si>
    <t>GoldenOS revenue is SaaS + API = 70–85% gross margin. ₹50K/ambulance/year × 1,000 ambulances = ₹5Cr with ZERO variable cost per trip. Completely different unit economics.</t>
  </si>
  <si>
    <t>No AI/ML in clinical workflow</t>
  </si>
  <si>
    <t>RED's tech = GPS dispatch + fleet tracking. No predictive triage, no clinical AI, no voice→PCR, no ABDM integration. Their 'RED Edge' tech centre hasn't shipped any visible AI product.</t>
  </si>
  <si>
    <t>GoldenOS is AI-NATIVE from Day 1. Claude API = triage, PCR, hospital matching, ICD-10, fraud scoring. 12–18 month head start before RED can build equivalent. First-mover on ABDM = permanent moat.</t>
  </si>
  <si>
    <t>Target B2C first, B2B second</t>
  </si>
  <si>
    <t>RED's app targets patients. But patients don't choose ambulances — they call whoever is fastest. Zero brand loyalty in emergencies. CAC is wasted.</t>
  </si>
  <si>
    <t>GSPL targets B2B ONLY. Sell to ambulance operators, hospitals, insurers, govt. They have purchasing power, contract cycles, and rational buying behaviour. Zero B2C marketing spend.</t>
  </si>
  <si>
    <t>Raised $43M, still not profitable</t>
  </si>
  <si>
    <t>Venture-funded growth loop: raise → expand fleet → burn more → raise more. If Series C doesn't come, or comes at flat valuation (down round), company is in trouble.</t>
  </si>
  <si>
    <t>GoldenOS can be profitable at ₹5Cr ARR (~50 ambulance operators). Seed round of ₹5Cr is sufficient for 18-month runway. NOT dependent on continuous fundraising.</t>
  </si>
  <si>
    <t>No government contract wins</t>
  </si>
  <si>
    <t>108/1962 contracts still go to incumbents (Ziqitza = 3,500 ambulances, BVG). RED hasn't cracked government. Tender process favours operational track record.</t>
  </si>
  <si>
    <t>GoldenOS can PARTNER with Ziqitza/BVG as their AI layer. Don't compete for the tender — be the technology that makes the tender winner perform better. Govt gets better outcomes, incumbent gets better tech, GSPL gets SaaS revenue.</t>
  </si>
  <si>
    <t>90-DAY EXECUTION PLAN  ·  From IIM Thesis to First GoldenOS Revenue</t>
  </si>
  <si>
    <t>Day</t>
  </si>
  <si>
    <t>Action</t>
  </si>
  <si>
    <t>Expected Output</t>
  </si>
  <si>
    <t>Owner</t>
  </si>
  <si>
    <t>Revenue/Milestone</t>
  </si>
  <si>
    <t xml:space="preserve">  WEEK 1–2: AI FOUNDATION</t>
  </si>
  <si>
    <t>1–14</t>
  </si>
  <si>
    <t>Set up Claude API account (Anthropic). Build dispatch triage prompt: patient call transcript → ESI level + recommended hospital type + urgency score. Test on 100 historical PCR records.</t>
  </si>
  <si>
    <t>Working Claude triage prompt with &gt;90% accuracy vs. expert classification. Documented in GoldenOS Technical Spec.</t>
  </si>
  <si>
    <t>CTO / Tech Lead</t>
  </si>
  <si>
    <t>Tech foundation</t>
  </si>
  <si>
    <t>Build PCR voice→structured data pipeline. Paramedic speaks 30-sec summary → Claude extracts: chief complaint, vitals, GCS, interventions, drugs, allergies into JSON. Connect to ABDM sandbox.</t>
  </si>
  <si>
    <t>Working PCR AI engine. ABDM sandbox credentials obtained. First test health record pushed to ABDM sandbox.</t>
  </si>
  <si>
    <t>ABDM first-mover</t>
  </si>
  <si>
    <t xml:space="preserve">  WEEK 2–3: PRODUCT</t>
  </si>
  <si>
    <t>8–21</t>
  </si>
  <si>
    <t>Build GoldenOS MVP: Android tablet app. Dispatch screen + PCR voice input + hospital dashboard view. Use Firebase for real-time data. 10 ambulance pilots in Mumbai.</t>
  </si>
  <si>
    <t>GoldenOS v0.1 running on 10 ambulances. 50+ real PCR records generated. Average triage accuracy logged.</t>
  </si>
  <si>
    <t>Tech team (3 devs)</t>
  </si>
  <si>
    <t>Product proof</t>
  </si>
  <si>
    <t xml:space="preserve">  WEEK 3–4: HOSPITAL PILOT</t>
  </si>
  <si>
    <t>15–28</t>
  </si>
  <si>
    <t>Approach Kokilaben, Lilavati, Hinduja with the pre-arrival brief demo: 'Here's what your ED will receive 8 min before our ambulance arrives.' Offer 3-month free trial.</t>
  </si>
  <si>
    <t>2 hospitals signed for GoldenOS Hospital Hub pilot. Pre-arrival briefs going live for all GSPL ambulance trips.</t>
  </si>
  <si>
    <t>Hemant (BD)</t>
  </si>
  <si>
    <t>Hospital traction</t>
  </si>
  <si>
    <t xml:space="preserve">  WEEK 4–5: OPERATOR PITCH</t>
  </si>
  <si>
    <t>22–35</t>
  </si>
  <si>
    <t>Identify 5 private ambulance operators in Mumbai (10–50 vehicles each). Pitch GoldenOS LITE: 'Your fleet, our brain.' ₹50K/ambulance/year. Offer 30-day free trial.</t>
  </si>
  <si>
    <t>2 operators signed (20–40 ambulances added to GoldenOS platform without GSPL owning a single extra vehicle).</t>
  </si>
  <si>
    <t>Sales</t>
  </si>
  <si>
    <t>First SaaS revenue ₹10–20L ARR</t>
  </si>
  <si>
    <t xml:space="preserve">  WEEK 5–6: DATA PROOF</t>
  </si>
  <si>
    <t>29–42</t>
  </si>
  <si>
    <t>Compile first 500 PCR records. Generate: response time distribution, triage accuracy vs. hospital diagnosis, ABDM integration success rate, Claude AI cost per trip.</t>
  </si>
  <si>
    <t>GoldenOS Data Report v1: quantified evidence that AI triage matches expert classification. Marketing + VC deck material.</t>
  </si>
  <si>
    <t>Data team</t>
  </si>
  <si>
    <t>Evidence for fundraise</t>
  </si>
  <si>
    <t xml:space="preserve">  WEEK 6–8: INSURER APPROACH</t>
  </si>
  <si>
    <t>36–56</t>
  </si>
  <si>
    <t>Approach Star Health Insurance: demo the Claims API. Show PCR evidence packet: GPS-tagged, timestamped, ICD-10 coded, fraud-scored. Propose: 'We give you tamper-proof claim evidence. You give us ₹100/claim.'</t>
  </si>
  <si>
    <t>1 insurer signed for Claims API pilot (1,000 claims). Revenue: ₹1L/month.</t>
  </si>
  <si>
    <t>Hemant + Legal</t>
  </si>
  <si>
    <t>Insurance API proof</t>
  </si>
  <si>
    <t xml:space="preserve">  WEEK 8–10: GOVT SIGNAL</t>
  </si>
  <si>
    <t>50–70</t>
  </si>
  <si>
    <t>Prepare NHM Maharashtra pitch: 'GoldenOS is not bidding for 108 contract. We're offering AI upgrade for whoever wins.' Meet NHM Director. Show ABDM integration + response time data.</t>
  </si>
  <si>
    <t>NHM relationship established. Letter of interest or MoU for GoldenOS evaluation.</t>
  </si>
  <si>
    <t>Hemant</t>
  </si>
  <si>
    <t>Govt credibility</t>
  </si>
  <si>
    <t xml:space="preserve">  WEEK 10–12: FUNDRAISE</t>
  </si>
  <si>
    <t>63–84</t>
  </si>
  <si>
    <t>Prepare Series Seed deck: GoldenOS = India's EMS intelligence layer. Metrics: X ambulances on platform, Y PCR records, Z hospital pilots, ABDM integrated, Claude AI cost &lt;₹1.05/trip.</t>
  </si>
  <si>
    <t>Seed round: ₹5–8 Cr from healthcare-focused VCs (HealthQuad, Chiratae, Blume). 18-month runway.</t>
  </si>
  <si>
    <t>Hemant + CFO</t>
  </si>
  <si>
    <t>₹5–8 Cr seed round</t>
  </si>
  <si>
    <t xml:space="preserve">  WEEK 12–13: REVIEW</t>
  </si>
  <si>
    <t>77–90</t>
  </si>
  <si>
    <t>Day 90 Review: GoldenOS performance metrics, unit economics, pipeline, burn rate. Plan Phase 2: scale to 200 ambulances, 10 hospitals, 2 insurers.</t>
  </si>
  <si>
    <t>Board deck. Updated 12-month plan. Phase 2 hiring plan (5 more engineers, 3 BD, 1 data scientist).</t>
  </si>
  <si>
    <t>Full team</t>
  </si>
  <si>
    <t>Foundation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</si>
</sst>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
    <numFmt numFmtId="166" formatCode="0.0%"/>
    <numFmt numFmtId="167" formatCode="#,##0.0\x"/>
  </numFmts>
  <fonts count="27" x14ac:knownFonts="1">
    <font>
      <sz val="11"/>
      <color theme="1"/>
      <name val="Calibri"/>
      <family val="2"/>
      <charset val="1"/>
    </font>
    <font>
      <b/>
      <sz val="16"/>
      <color rgb="FFFFFFFF"/>
      <name val="Arial"/>
      <family val="2"/>
    </font>
    <font>
      <i/>
      <sz val="10"/>
      <color rgb="FFFFFFFF"/>
      <name val="Arial"/>
      <family val="2"/>
    </font>
    <font>
      <b/>
      <sz val="11"/>
      <color rgb="FFFFFFFF"/>
      <name val="Arial"/>
      <family val="2"/>
    </font>
    <font>
      <b/>
      <sz val="9"/>
      <color rgb="FFFFFFFF"/>
      <name val="Arial"/>
      <family val="2"/>
    </font>
    <font>
      <b/>
      <sz val="9"/>
      <color rgb="FF003366"/>
      <name val="Arial"/>
      <family val="2"/>
    </font>
    <font>
      <sz val="9"/>
      <color rgb="FF000000"/>
      <name val="Arial"/>
      <family val="2"/>
    </font>
    <font>
      <sz val="9"/>
      <color rgb="FF1A6B3C"/>
      <name val="Arial"/>
      <family val="2"/>
    </font>
    <font>
      <b/>
      <sz val="9"/>
      <color rgb="FFC0392B"/>
      <name val="Arial"/>
      <family val="2"/>
    </font>
    <font>
      <sz val="9"/>
      <color rgb="FF00703C"/>
      <name val="Arial"/>
      <family val="2"/>
    </font>
    <font>
      <sz val="9"/>
      <color rgb="FFC0392B"/>
      <name val="Arial"/>
      <family val="2"/>
    </font>
    <font>
      <sz val="9"/>
      <color rgb="FF0066CC"/>
      <name val="Arial"/>
      <family val="2"/>
    </font>
    <font>
      <b/>
      <sz val="9"/>
      <color rgb="FFB7860B"/>
      <name val="Arial"/>
      <family val="2"/>
    </font>
    <font>
      <b/>
      <sz val="15"/>
      <color rgb="FFFFFFFF"/>
      <name val="Arial"/>
      <family val="2"/>
    </font>
    <font>
      <b/>
      <i/>
      <sz val="11"/>
      <color rgb="FFFFFFFF"/>
      <name val="Arial"/>
      <family val="2"/>
    </font>
    <font>
      <b/>
      <sz val="10"/>
      <color rgb="FF003366"/>
      <name val="Arial"/>
      <family val="2"/>
    </font>
    <font>
      <b/>
      <sz val="9"/>
      <color rgb="FF1A6B3C"/>
      <name val="Arial"/>
      <family val="2"/>
    </font>
    <font>
      <b/>
      <sz val="14"/>
      <color rgb="FFFFFFFF"/>
      <name val="Arial"/>
      <family val="2"/>
    </font>
    <font>
      <sz val="9"/>
      <color rgb="FF7B2D8E"/>
      <name val="Arial"/>
      <family val="2"/>
    </font>
    <font>
      <b/>
      <sz val="9"/>
      <color rgb="FF00703C"/>
      <name val="Arial"/>
      <family val="2"/>
    </font>
    <font>
      <b/>
      <sz val="10"/>
      <color rgb="FF00703C"/>
      <name val="Arial"/>
      <family val="2"/>
    </font>
    <font>
      <i/>
      <sz val="8"/>
      <color rgb="FF000000"/>
      <name val="Arial"/>
      <family val="2"/>
    </font>
    <font>
      <b/>
      <sz val="9"/>
      <color rgb="FF0000FF"/>
      <name val="Arial"/>
      <family val="2"/>
    </font>
    <font>
      <sz val="9"/>
      <color rgb="FF003366"/>
      <name val="Arial"/>
      <family val="2"/>
    </font>
    <font>
      <b/>
      <sz val="10"/>
      <color rgb="FFFFFFFF"/>
      <name val="Arial"/>
      <family val="2"/>
    </font>
    <font>
      <sz val="9"/>
      <color rgb="FFB7860B"/>
      <name val="Arial"/>
      <family val="2"/>
    </font>
    <font>
      <b/>
      <i/>
      <sz val="10"/>
      <color rgb="FF003366"/>
      <name val="Arial"/>
      <family val="2"/>
    </font>
  </fonts>
  <fills count="18">
    <fill>
      <patternFill patternType="none"/>
    </fill>
    <fill>
      <patternFill patternType="gray125"/>
    </fill>
    <fill>
      <patternFill patternType="solid">
        <fgColor rgb="FF003366"/>
        <bgColor rgb="FF333399"/>
      </patternFill>
    </fill>
    <fill>
      <patternFill patternType="solid">
        <fgColor rgb="FF0066CC"/>
        <bgColor rgb="FF117A8B"/>
      </patternFill>
    </fill>
    <fill>
      <patternFill patternType="solid">
        <fgColor rgb="FFF2F4F7"/>
        <bgColor rgb="FFFFFFFF"/>
      </patternFill>
    </fill>
    <fill>
      <patternFill patternType="solid">
        <fgColor rgb="FFFFFFFF"/>
        <bgColor rgb="FFF2F4F7"/>
      </patternFill>
    </fill>
    <fill>
      <patternFill patternType="solid">
        <fgColor rgb="FFC0392B"/>
        <bgColor rgb="FF993366"/>
      </patternFill>
    </fill>
    <fill>
      <patternFill patternType="solid">
        <fgColor rgb="FF00703C"/>
        <bgColor rgb="FF1A6B3C"/>
      </patternFill>
    </fill>
    <fill>
      <patternFill patternType="solid">
        <fgColor rgb="FFB7860B"/>
        <bgColor rgb="FFE67E22"/>
      </patternFill>
    </fill>
    <fill>
      <patternFill patternType="solid">
        <fgColor rgb="FFD6E4F0"/>
        <bgColor rgb="FFD5F5E3"/>
      </patternFill>
    </fill>
    <fill>
      <patternFill patternType="solid">
        <fgColor rgb="FFFDEBD0"/>
        <bgColor rgb="FFFDFBD4"/>
      </patternFill>
    </fill>
    <fill>
      <patternFill patternType="solid">
        <fgColor rgb="FFF0E0F7"/>
        <bgColor rgb="FFD6E4F0"/>
      </patternFill>
    </fill>
    <fill>
      <patternFill patternType="solid">
        <fgColor rgb="FFD5F5E3"/>
        <bgColor rgb="FFD6E4F0"/>
      </patternFill>
    </fill>
    <fill>
      <patternFill patternType="solid">
        <fgColor rgb="FFFDFBD4"/>
        <bgColor rgb="FFFDEBD0"/>
      </patternFill>
    </fill>
    <fill>
      <patternFill patternType="solid">
        <fgColor rgb="FF7B2D8E"/>
        <bgColor rgb="FF993366"/>
      </patternFill>
    </fill>
    <fill>
      <patternFill patternType="solid">
        <fgColor rgb="FF117A8B"/>
        <bgColor rgb="FF0066CC"/>
      </patternFill>
    </fill>
    <fill>
      <patternFill patternType="solid">
        <fgColor rgb="FFE67E22"/>
        <bgColor rgb="FFFF9900"/>
      </patternFill>
    </fill>
    <fill>
      <patternFill patternType="solid">
        <fgColor rgb="FF555555"/>
        <bgColor rgb="FF333333"/>
      </patternFill>
    </fill>
  </fills>
  <borders count="3">
    <border>
      <left/>
      <right/>
      <top/>
      <bottom/>
      <diagonal/>
    </border>
    <border>
      <left style="thin">
        <color rgb="FFBBBBBB"/>
      </left>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05">
    <xf numFmtId="0" fontId="0" fillId="0" borderId="0" xfId="0"/>
    <xf numFmtId="0" fontId="24" fillId="6" borderId="1" xfId="0" applyFont="1" applyFill="1" applyBorder="1" applyAlignment="1">
      <alignment horizontal="left" vertical="center"/>
    </xf>
    <xf numFmtId="0" fontId="24" fillId="8" borderId="1" xfId="0" applyFont="1" applyFill="1" applyBorder="1" applyAlignment="1">
      <alignment horizontal="left" vertical="center"/>
    </xf>
    <xf numFmtId="0" fontId="24" fillId="16" borderId="1" xfId="0" applyFont="1" applyFill="1" applyBorder="1" applyAlignment="1">
      <alignment horizontal="left" vertical="center"/>
    </xf>
    <xf numFmtId="0" fontId="24" fillId="15" borderId="1" xfId="0" applyFont="1" applyFill="1" applyBorder="1" applyAlignment="1">
      <alignment horizontal="left" vertical="center"/>
    </xf>
    <xf numFmtId="0" fontId="24" fillId="7" borderId="1" xfId="0" applyFont="1" applyFill="1" applyBorder="1" applyAlignment="1">
      <alignment horizontal="left" vertical="center"/>
    </xf>
    <xf numFmtId="0" fontId="24" fillId="3" borderId="1" xfId="0" applyFont="1" applyFill="1" applyBorder="1" applyAlignment="1">
      <alignment horizontal="left" vertical="center"/>
    </xf>
    <xf numFmtId="0" fontId="24" fillId="14" borderId="1" xfId="0" applyFont="1" applyFill="1" applyBorder="1" applyAlignment="1">
      <alignment horizontal="left" vertical="center"/>
    </xf>
    <xf numFmtId="0" fontId="26" fillId="11" borderId="1" xfId="0" applyFont="1" applyFill="1" applyBorder="1" applyAlignment="1">
      <alignment horizontal="center" vertical="center" wrapText="1"/>
    </xf>
    <xf numFmtId="0" fontId="17" fillId="2" borderId="0" xfId="0" applyFont="1" applyFill="1" applyAlignment="1">
      <alignment horizontal="center" vertical="center"/>
    </xf>
    <xf numFmtId="0" fontId="14" fillId="8" borderId="0" xfId="0" applyFont="1" applyFill="1" applyAlignment="1">
      <alignment horizontal="center" vertical="center"/>
    </xf>
    <xf numFmtId="0" fontId="13" fillId="2" borderId="0" xfId="0" applyFont="1" applyFill="1" applyAlignment="1">
      <alignment horizontal="center" vertical="center"/>
    </xf>
    <xf numFmtId="0" fontId="3" fillId="2" borderId="1" xfId="0" applyFont="1" applyFill="1" applyBorder="1" applyAlignment="1">
      <alignment horizontal="left" vertical="center"/>
    </xf>
    <xf numFmtId="0" fontId="2" fillId="3" borderId="0" xfId="0" applyFont="1" applyFill="1" applyAlignment="1">
      <alignment horizontal="center" vertical="center"/>
    </xf>
    <xf numFmtId="0" fontId="1" fillId="2" borderId="0" xfId="0" applyFont="1" applyFill="1" applyAlignment="1">
      <alignment horizontal="center" vertical="center"/>
    </xf>
    <xf numFmtId="0" fontId="4" fillId="3" borderId="2" xfId="0" applyFont="1" applyFill="1" applyBorder="1" applyAlignment="1">
      <alignment horizontal="center" vertical="center"/>
    </xf>
    <xf numFmtId="0" fontId="5" fillId="4" borderId="2" xfId="0" applyFont="1" applyFill="1" applyBorder="1" applyAlignment="1">
      <alignment horizontal="left" vertical="center" wrapText="1"/>
    </xf>
    <xf numFmtId="0" fontId="6" fillId="4" borderId="2" xfId="0" applyFont="1" applyFill="1" applyBorder="1" applyAlignment="1">
      <alignment horizontal="left" vertical="center"/>
    </xf>
    <xf numFmtId="0" fontId="5" fillId="5" borderId="2" xfId="0" applyFont="1" applyFill="1" applyBorder="1" applyAlignment="1">
      <alignment horizontal="left" vertical="center" wrapText="1"/>
    </xf>
    <xf numFmtId="0" fontId="6" fillId="5" borderId="2" xfId="0" applyFont="1" applyFill="1" applyBorder="1" applyAlignment="1">
      <alignment horizontal="left" vertical="center"/>
    </xf>
    <xf numFmtId="0" fontId="4" fillId="2" borderId="2" xfId="0" applyFont="1" applyFill="1" applyBorder="1" applyAlignment="1">
      <alignment horizontal="center" vertical="center"/>
    </xf>
    <xf numFmtId="0" fontId="4" fillId="6" borderId="2" xfId="0" applyFont="1" applyFill="1" applyBorder="1" applyAlignment="1">
      <alignment horizontal="center" vertical="center"/>
    </xf>
    <xf numFmtId="0" fontId="6" fillId="4" borderId="2" xfId="0" applyFont="1" applyFill="1" applyBorder="1" applyAlignment="1">
      <alignment horizontal="left" vertical="center" wrapText="1"/>
    </xf>
    <xf numFmtId="0" fontId="7" fillId="4" borderId="2" xfId="0" applyFont="1" applyFill="1" applyBorder="1" applyAlignment="1">
      <alignment horizontal="left" vertical="center" wrapText="1"/>
    </xf>
    <xf numFmtId="0" fontId="8" fillId="4" borderId="2" xfId="0" applyFont="1" applyFill="1" applyBorder="1" applyAlignment="1">
      <alignment horizontal="left" vertical="center" wrapText="1"/>
    </xf>
    <xf numFmtId="0" fontId="6" fillId="5"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8" fillId="5" borderId="2" xfId="0" applyFont="1" applyFill="1" applyBorder="1" applyAlignment="1">
      <alignment horizontal="left" vertical="center" wrapText="1"/>
    </xf>
    <xf numFmtId="0" fontId="4" fillId="7" borderId="2" xfId="0" applyFont="1" applyFill="1" applyBorder="1" applyAlignment="1">
      <alignment horizontal="center" vertical="center"/>
    </xf>
    <xf numFmtId="0" fontId="4" fillId="8" borderId="2" xfId="0" applyFont="1" applyFill="1" applyBorder="1" applyAlignment="1">
      <alignment horizontal="center" vertical="center"/>
    </xf>
    <xf numFmtId="0" fontId="9" fillId="4" borderId="2" xfId="0" applyFont="1" applyFill="1" applyBorder="1" applyAlignment="1">
      <alignment horizontal="left" vertical="center" wrapText="1"/>
    </xf>
    <xf numFmtId="0" fontId="10" fillId="4" borderId="2" xfId="0" applyFont="1" applyFill="1" applyBorder="1" applyAlignment="1">
      <alignment horizontal="left" vertical="center" wrapText="1"/>
    </xf>
    <xf numFmtId="0" fontId="11" fillId="4" borderId="2" xfId="0" applyFont="1" applyFill="1" applyBorder="1" applyAlignment="1">
      <alignment horizontal="left" vertical="center" wrapText="1"/>
    </xf>
    <xf numFmtId="0" fontId="12" fillId="4" borderId="2" xfId="0" applyFont="1" applyFill="1" applyBorder="1" applyAlignment="1">
      <alignment horizontal="left" vertical="center" wrapText="1"/>
    </xf>
    <xf numFmtId="0" fontId="9" fillId="5" borderId="2" xfId="0" applyFont="1" applyFill="1" applyBorder="1" applyAlignment="1">
      <alignment horizontal="left" vertical="center" wrapText="1"/>
    </xf>
    <xf numFmtId="0" fontId="10" fillId="5" borderId="2"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5" fillId="9" borderId="2" xfId="0" applyFont="1" applyFill="1" applyBorder="1" applyAlignment="1">
      <alignment horizontal="left" vertical="center" wrapText="1"/>
    </xf>
    <xf numFmtId="0" fontId="6" fillId="9" borderId="2" xfId="0" applyFont="1" applyFill="1" applyBorder="1" applyAlignment="1">
      <alignment horizontal="left" vertical="center" wrapText="1"/>
    </xf>
    <xf numFmtId="0" fontId="16" fillId="9" borderId="2" xfId="0" applyFont="1" applyFill="1" applyBorder="1" applyAlignment="1">
      <alignment horizontal="left" vertical="center" wrapText="1"/>
    </xf>
    <xf numFmtId="0" fontId="15" fillId="10" borderId="2" xfId="0" applyFont="1" applyFill="1" applyBorder="1" applyAlignment="1">
      <alignment horizontal="left" vertical="center" wrapText="1"/>
    </xf>
    <xf numFmtId="0" fontId="6" fillId="10" borderId="2" xfId="0" applyFont="1" applyFill="1" applyBorder="1" applyAlignment="1">
      <alignment horizontal="left" vertical="center" wrapText="1"/>
    </xf>
    <xf numFmtId="0" fontId="16" fillId="10" borderId="2" xfId="0" applyFont="1" applyFill="1" applyBorder="1" applyAlignment="1">
      <alignment horizontal="left" vertical="center" wrapText="1"/>
    </xf>
    <xf numFmtId="0" fontId="15" fillId="11" borderId="2" xfId="0" applyFont="1" applyFill="1" applyBorder="1" applyAlignment="1">
      <alignment horizontal="left" vertical="center" wrapText="1"/>
    </xf>
    <xf numFmtId="0" fontId="6" fillId="11" borderId="2" xfId="0" applyFont="1" applyFill="1" applyBorder="1" applyAlignment="1">
      <alignment horizontal="left" vertical="center" wrapText="1"/>
    </xf>
    <xf numFmtId="0" fontId="16" fillId="11" borderId="2" xfId="0" applyFont="1" applyFill="1" applyBorder="1" applyAlignment="1">
      <alignment horizontal="left" vertical="center" wrapText="1"/>
    </xf>
    <xf numFmtId="0" fontId="15" fillId="12" borderId="2" xfId="0" applyFont="1" applyFill="1" applyBorder="1" applyAlignment="1">
      <alignment horizontal="left" vertical="center" wrapText="1"/>
    </xf>
    <xf numFmtId="0" fontId="6" fillId="12" borderId="2" xfId="0" applyFont="1" applyFill="1" applyBorder="1" applyAlignment="1">
      <alignment horizontal="left" vertical="center" wrapText="1"/>
    </xf>
    <xf numFmtId="0" fontId="16" fillId="12" borderId="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6" fillId="13" borderId="2" xfId="0" applyFont="1" applyFill="1" applyBorder="1" applyAlignment="1">
      <alignment horizontal="left" vertical="center" wrapText="1"/>
    </xf>
    <xf numFmtId="0" fontId="16" fillId="13" borderId="2" xfId="0" applyFont="1" applyFill="1" applyBorder="1" applyAlignment="1">
      <alignment horizontal="left" vertical="center" wrapText="1"/>
    </xf>
    <xf numFmtId="0" fontId="18" fillId="9" borderId="2"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18" fillId="12" borderId="2" xfId="0" applyFont="1" applyFill="1" applyBorder="1" applyAlignment="1">
      <alignment horizontal="left" vertical="center" wrapText="1"/>
    </xf>
    <xf numFmtId="0" fontId="19" fillId="12" borderId="2" xfId="0" applyFont="1" applyFill="1" applyBorder="1" applyAlignment="1">
      <alignment horizontal="left" vertical="center" wrapText="1"/>
    </xf>
    <xf numFmtId="0" fontId="18" fillId="13" borderId="2" xfId="0" applyFont="1" applyFill="1" applyBorder="1" applyAlignment="1">
      <alignment horizontal="left" vertical="center" wrapText="1"/>
    </xf>
    <xf numFmtId="0" fontId="19" fillId="13" borderId="2" xfId="0" applyFont="1" applyFill="1" applyBorder="1" applyAlignment="1">
      <alignment horizontal="left" vertical="center" wrapText="1"/>
    </xf>
    <xf numFmtId="0" fontId="18" fillId="10" borderId="2" xfId="0" applyFont="1" applyFill="1" applyBorder="1" applyAlignment="1">
      <alignment horizontal="left" vertical="center" wrapText="1"/>
    </xf>
    <xf numFmtId="0" fontId="19" fillId="10" borderId="2" xfId="0" applyFont="1" applyFill="1" applyBorder="1" applyAlignment="1">
      <alignment horizontal="left" vertical="center" wrapText="1"/>
    </xf>
    <xf numFmtId="0" fontId="18" fillId="11" borderId="2" xfId="0" applyFont="1" applyFill="1" applyBorder="1" applyAlignment="1">
      <alignment horizontal="left" vertical="center" wrapText="1"/>
    </xf>
    <xf numFmtId="0" fontId="19" fillId="11" borderId="2" xfId="0" applyFont="1" applyFill="1" applyBorder="1" applyAlignment="1">
      <alignment horizontal="left" vertical="center" wrapText="1"/>
    </xf>
    <xf numFmtId="0" fontId="20" fillId="12" borderId="2" xfId="0" applyFont="1" applyFill="1" applyBorder="1" applyAlignment="1">
      <alignment horizontal="left" vertical="center" wrapText="1"/>
    </xf>
    <xf numFmtId="0" fontId="20" fillId="9" borderId="2" xfId="0" applyFont="1" applyFill="1" applyBorder="1" applyAlignment="1">
      <alignment horizontal="left" vertical="center" wrapText="1"/>
    </xf>
    <xf numFmtId="0" fontId="20" fillId="13" borderId="2" xfId="0" applyFont="1" applyFill="1" applyBorder="1" applyAlignment="1">
      <alignment horizontal="left" vertical="center" wrapText="1"/>
    </xf>
    <xf numFmtId="0" fontId="19" fillId="4" borderId="2" xfId="0" applyFont="1" applyFill="1" applyBorder="1" applyAlignment="1">
      <alignment horizontal="left" vertical="center" wrapText="1"/>
    </xf>
    <xf numFmtId="0" fontId="19" fillId="5" borderId="2" xfId="0" applyFont="1" applyFill="1" applyBorder="1" applyAlignment="1">
      <alignment horizontal="left" vertical="center" wrapText="1"/>
    </xf>
    <xf numFmtId="0" fontId="21" fillId="5" borderId="2" xfId="0" applyFont="1" applyFill="1" applyBorder="1" applyAlignment="1">
      <alignment horizontal="left" vertical="center"/>
    </xf>
    <xf numFmtId="0" fontId="22" fillId="4" borderId="2" xfId="0" applyFont="1" applyFill="1" applyBorder="1" applyAlignment="1">
      <alignment horizontal="right" vertical="center"/>
    </xf>
    <xf numFmtId="0" fontId="6" fillId="9" borderId="2" xfId="0" applyFont="1" applyFill="1" applyBorder="1" applyAlignment="1">
      <alignment horizontal="left" vertical="center"/>
    </xf>
    <xf numFmtId="3" fontId="23" fillId="9" borderId="2" xfId="0" applyNumberFormat="1" applyFont="1" applyFill="1" applyBorder="1" applyAlignment="1">
      <alignment horizontal="right" vertical="center"/>
    </xf>
    <xf numFmtId="0" fontId="6" fillId="11" borderId="2" xfId="0" applyFont="1" applyFill="1" applyBorder="1" applyAlignment="1">
      <alignment horizontal="left" vertical="center"/>
    </xf>
    <xf numFmtId="164" fontId="18" fillId="11" borderId="2" xfId="0" applyNumberFormat="1" applyFont="1" applyFill="1" applyBorder="1" applyAlignment="1">
      <alignment horizontal="right" vertical="center"/>
    </xf>
    <xf numFmtId="0" fontId="6" fillId="10" borderId="2" xfId="0" applyFont="1" applyFill="1" applyBorder="1" applyAlignment="1">
      <alignment horizontal="left" vertical="center"/>
    </xf>
    <xf numFmtId="165" fontId="10" fillId="10" borderId="2" xfId="0" applyNumberFormat="1" applyFont="1" applyFill="1" applyBorder="1" applyAlignment="1">
      <alignment horizontal="right" vertical="center"/>
    </xf>
    <xf numFmtId="165" fontId="9" fillId="5" borderId="2" xfId="0" applyNumberFormat="1" applyFont="1" applyFill="1" applyBorder="1" applyAlignment="1">
      <alignment horizontal="right" vertical="center"/>
    </xf>
    <xf numFmtId="0" fontId="6" fillId="7" borderId="2" xfId="0" applyFont="1" applyFill="1" applyBorder="1" applyAlignment="1">
      <alignment horizontal="left" vertical="center"/>
    </xf>
    <xf numFmtId="165" fontId="24" fillId="7" borderId="2" xfId="0" applyNumberFormat="1" applyFont="1" applyFill="1" applyBorder="1" applyAlignment="1">
      <alignment horizontal="right" vertical="center"/>
    </xf>
    <xf numFmtId="166" fontId="18" fillId="11" borderId="2" xfId="0" applyNumberFormat="1" applyFont="1" applyFill="1" applyBorder="1" applyAlignment="1">
      <alignment horizontal="right" vertical="center"/>
    </xf>
    <xf numFmtId="0" fontId="6" fillId="13" borderId="2" xfId="0" applyFont="1" applyFill="1" applyBorder="1" applyAlignment="1">
      <alignment horizontal="left" vertical="center"/>
    </xf>
    <xf numFmtId="167" fontId="25" fillId="13" borderId="2" xfId="0" applyNumberFormat="1" applyFont="1" applyFill="1" applyBorder="1" applyAlignment="1">
      <alignment horizontal="right" vertical="center"/>
    </xf>
    <xf numFmtId="3" fontId="6" fillId="4" borderId="2" xfId="0" applyNumberFormat="1" applyFont="1" applyFill="1" applyBorder="1" applyAlignment="1">
      <alignment horizontal="left" vertical="center"/>
    </xf>
    <xf numFmtId="9" fontId="11" fillId="4" borderId="2" xfId="0" applyNumberFormat="1" applyFont="1" applyFill="1" applyBorder="1" applyAlignment="1">
      <alignment horizontal="right" vertical="center"/>
    </xf>
    <xf numFmtId="3" fontId="19" fillId="4" borderId="2" xfId="0" applyNumberFormat="1" applyFont="1" applyFill="1" applyBorder="1" applyAlignment="1">
      <alignment horizontal="right" vertical="center"/>
    </xf>
    <xf numFmtId="3" fontId="6" fillId="5" borderId="2" xfId="0" applyNumberFormat="1" applyFont="1" applyFill="1" applyBorder="1" applyAlignment="1">
      <alignment horizontal="left" vertical="center"/>
    </xf>
    <xf numFmtId="9" fontId="11" fillId="5" borderId="2" xfId="0" applyNumberFormat="1" applyFont="1" applyFill="1" applyBorder="1" applyAlignment="1">
      <alignment horizontal="right" vertical="center"/>
    </xf>
    <xf numFmtId="3" fontId="19" fillId="5" borderId="2" xfId="0" applyNumberFormat="1" applyFont="1" applyFill="1" applyBorder="1" applyAlignment="1">
      <alignment horizontal="right" vertical="center"/>
    </xf>
    <xf numFmtId="0" fontId="24" fillId="2" borderId="2" xfId="0" applyFont="1" applyFill="1" applyBorder="1" applyAlignment="1">
      <alignment horizontal="left" vertical="center"/>
    </xf>
    <xf numFmtId="0" fontId="6" fillId="2" borderId="2" xfId="0" applyFont="1" applyFill="1" applyBorder="1" applyAlignment="1">
      <alignment horizontal="left" vertical="center"/>
    </xf>
    <xf numFmtId="3" fontId="3" fillId="8" borderId="2" xfId="0" applyNumberFormat="1" applyFont="1" applyFill="1" applyBorder="1" applyAlignment="1">
      <alignment horizontal="right" vertical="center"/>
    </xf>
    <xf numFmtId="0" fontId="5" fillId="4" borderId="2" xfId="0" applyFont="1" applyFill="1" applyBorder="1" applyAlignment="1">
      <alignment horizontal="left" vertical="center"/>
    </xf>
    <xf numFmtId="0" fontId="19" fillId="4" borderId="2" xfId="0" applyFont="1" applyFill="1" applyBorder="1" applyAlignment="1">
      <alignment horizontal="right" vertical="center"/>
    </xf>
    <xf numFmtId="0" fontId="12" fillId="4" borderId="2" xfId="0" applyFont="1" applyFill="1" applyBorder="1" applyAlignment="1">
      <alignment horizontal="left" vertical="center"/>
    </xf>
    <xf numFmtId="0" fontId="5" fillId="5" borderId="2" xfId="0" applyFont="1" applyFill="1" applyBorder="1" applyAlignment="1">
      <alignment horizontal="left" vertical="center"/>
    </xf>
    <xf numFmtId="0" fontId="19" fillId="5" borderId="2" xfId="0" applyFont="1" applyFill="1" applyBorder="1" applyAlignment="1">
      <alignment horizontal="right" vertical="center"/>
    </xf>
    <xf numFmtId="0" fontId="12" fillId="5" borderId="2" xfId="0" applyFont="1" applyFill="1" applyBorder="1" applyAlignment="1">
      <alignment horizontal="left" vertical="center"/>
    </xf>
    <xf numFmtId="0" fontId="5" fillId="11" borderId="2" xfId="0" applyFont="1" applyFill="1" applyBorder="1" applyAlignment="1">
      <alignment horizontal="center" vertical="center"/>
    </xf>
    <xf numFmtId="0" fontId="5" fillId="9" borderId="2" xfId="0" applyFont="1" applyFill="1" applyBorder="1" applyAlignment="1">
      <alignment horizontal="center" vertical="center"/>
    </xf>
    <xf numFmtId="0" fontId="5" fillId="12" borderId="2" xfId="0" applyFont="1" applyFill="1" applyBorder="1" applyAlignment="1">
      <alignment horizontal="center" vertical="center"/>
    </xf>
    <xf numFmtId="0" fontId="5" fillId="4" borderId="2" xfId="0" applyFont="1" applyFill="1" applyBorder="1" applyAlignment="1">
      <alignment horizontal="center" vertical="center"/>
    </xf>
    <xf numFmtId="0" fontId="5" fillId="10" borderId="2" xfId="0" applyFont="1" applyFill="1" applyBorder="1" applyAlignment="1">
      <alignment horizontal="center" vertical="center"/>
    </xf>
    <xf numFmtId="0" fontId="5" fillId="13" borderId="2" xfId="0" applyFont="1" applyFill="1" applyBorder="1" applyAlignment="1">
      <alignment horizontal="center" vertical="center"/>
    </xf>
    <xf numFmtId="0" fontId="24" fillId="2" borderId="1" xfId="0" applyFont="1" applyFill="1" applyBorder="1" applyAlignment="1">
      <alignment horizontal="left" vertical="center"/>
    </xf>
    <xf numFmtId="0" fontId="24" fillId="17"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703C"/>
      <rgbColor rgb="FF000080"/>
      <rgbColor rgb="FFB7860B"/>
      <rgbColor rgb="FF800080"/>
      <rgbColor rgb="FF117A8B"/>
      <rgbColor rgb="FFBBBBBB"/>
      <rgbColor rgb="FF808080"/>
      <rgbColor rgb="FF9999FF"/>
      <rgbColor rgb="FF7B2D8E"/>
      <rgbColor rgb="FFFDFBD4"/>
      <rgbColor rgb="FFF2F4F7"/>
      <rgbColor rgb="FF660066"/>
      <rgbColor rgb="FFFF8080"/>
      <rgbColor rgb="FF0066CC"/>
      <rgbColor rgb="FFD6E4F0"/>
      <rgbColor rgb="FF000080"/>
      <rgbColor rgb="FFFF00FF"/>
      <rgbColor rgb="FFFFFF00"/>
      <rgbColor rgb="FF00FFFF"/>
      <rgbColor rgb="FF800080"/>
      <rgbColor rgb="FF800000"/>
      <rgbColor rgb="FF1A6B3C"/>
      <rgbColor rgb="FF0000FF"/>
      <rgbColor rgb="FF00CCFF"/>
      <rgbColor rgb="FFF0E0F7"/>
      <rgbColor rgb="FFD5F5E3"/>
      <rgbColor rgb="FFFDEBD0"/>
      <rgbColor rgb="FF99CCFF"/>
      <rgbColor rgb="FFFF99CC"/>
      <rgbColor rgb="FFCC99FF"/>
      <rgbColor rgb="FFFFCC99"/>
      <rgbColor rgb="FF3366FF"/>
      <rgbColor rgb="FF33CCCC"/>
      <rgbColor rgb="FF99CC00"/>
      <rgbColor rgb="FFFFCC00"/>
      <rgbColor rgb="FFFF9900"/>
      <rgbColor rgb="FFE67E22"/>
      <rgbColor rgb="FF555555"/>
      <rgbColor rgb="FF969696"/>
      <rgbColor rgb="FF003366"/>
      <rgbColor rgb="FF339966"/>
      <rgbColor rgb="FF003300"/>
      <rgbColor rgb="FF333300"/>
      <rgbColor rgb="FFC0392B"/>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29"/>
  <sheetViews>
    <sheetView zoomScaleNormal="100" workbookViewId="0">
      <pane xSplit="1" ySplit="3" topLeftCell="B18" activePane="bottomRight" state="frozen"/>
      <selection pane="topRight" activeCell="B1" sqref="B1"/>
      <selection pane="bottomLeft" activeCell="A4" sqref="A4"/>
      <selection pane="bottomRight"/>
    </sheetView>
  </sheetViews>
  <sheetFormatPr baseColWidth="10" defaultColWidth="8.6640625" defaultRowHeight="15" customHeight="1" x14ac:dyDescent="0.2"/>
  <cols>
    <col min="1" max="1" width="2" customWidth="1"/>
    <col min="2" max="5" width="24" customWidth="1"/>
    <col min="6" max="6" width="2" customWidth="1"/>
  </cols>
  <sheetData>
    <row r="1" spans="2:5" ht="30" customHeight="1" x14ac:dyDescent="0.2">
      <c r="B1" s="14" t="s">
        <v>0</v>
      </c>
      <c r="C1" s="14"/>
      <c r="D1" s="14"/>
      <c r="E1" s="14"/>
    </row>
    <row r="2" spans="2:5" ht="19.5" customHeight="1" x14ac:dyDescent="0.2">
      <c r="B2" s="13" t="s">
        <v>1</v>
      </c>
      <c r="C2" s="13"/>
      <c r="D2" s="13"/>
      <c r="E2" s="13"/>
    </row>
    <row r="4" spans="2:5" ht="21.75" customHeight="1" x14ac:dyDescent="0.2">
      <c r="B4" s="12" t="s">
        <v>2</v>
      </c>
      <c r="C4" s="12"/>
      <c r="D4" s="12"/>
      <c r="E4" s="12"/>
    </row>
    <row r="5" spans="2:5" ht="19.5" customHeight="1" x14ac:dyDescent="0.2">
      <c r="B5" s="15" t="s">
        <v>3</v>
      </c>
      <c r="C5" s="15" t="s">
        <v>4</v>
      </c>
      <c r="D5" s="15" t="s">
        <v>5</v>
      </c>
      <c r="E5" s="15" t="s">
        <v>6</v>
      </c>
    </row>
    <row r="6" spans="2:5" ht="21.75" customHeight="1" x14ac:dyDescent="0.2">
      <c r="B6" s="16" t="s">
        <v>7</v>
      </c>
      <c r="C6" s="17" t="s">
        <v>8</v>
      </c>
      <c r="D6" s="17" t="s">
        <v>9</v>
      </c>
      <c r="E6" s="17" t="s">
        <v>10</v>
      </c>
    </row>
    <row r="7" spans="2:5" ht="21.75" customHeight="1" x14ac:dyDescent="0.2">
      <c r="B7" s="18" t="s">
        <v>11</v>
      </c>
      <c r="C7" s="19" t="s">
        <v>12</v>
      </c>
      <c r="D7" s="19" t="s">
        <v>13</v>
      </c>
      <c r="E7" s="19" t="s">
        <v>14</v>
      </c>
    </row>
    <row r="8" spans="2:5" ht="21.75" customHeight="1" x14ac:dyDescent="0.2">
      <c r="B8" s="16" t="s">
        <v>15</v>
      </c>
      <c r="C8" s="17" t="s">
        <v>16</v>
      </c>
      <c r="D8" s="17" t="s">
        <v>17</v>
      </c>
      <c r="E8" s="17" t="s">
        <v>18</v>
      </c>
    </row>
    <row r="9" spans="2:5" ht="21.75" customHeight="1" x14ac:dyDescent="0.2">
      <c r="B9" s="18" t="s">
        <v>19</v>
      </c>
      <c r="C9" s="19" t="s">
        <v>20</v>
      </c>
      <c r="D9" s="19" t="s">
        <v>21</v>
      </c>
      <c r="E9" s="19" t="s">
        <v>22</v>
      </c>
    </row>
    <row r="10" spans="2:5" ht="21.75" customHeight="1" x14ac:dyDescent="0.2">
      <c r="B10" s="16" t="s">
        <v>23</v>
      </c>
      <c r="C10" s="17" t="s">
        <v>24</v>
      </c>
      <c r="D10" s="17" t="s">
        <v>12</v>
      </c>
      <c r="E10" s="17" t="s">
        <v>25</v>
      </c>
    </row>
    <row r="11" spans="2:5" ht="21.75" customHeight="1" x14ac:dyDescent="0.2">
      <c r="B11" s="18" t="s">
        <v>26</v>
      </c>
      <c r="C11" s="19" t="s">
        <v>27</v>
      </c>
      <c r="D11" s="19" t="s">
        <v>12</v>
      </c>
      <c r="E11" s="19" t="s">
        <v>28</v>
      </c>
    </row>
    <row r="12" spans="2:5" ht="21.75" customHeight="1" x14ac:dyDescent="0.2">
      <c r="B12" s="16" t="s">
        <v>29</v>
      </c>
      <c r="C12" s="17" t="s">
        <v>30</v>
      </c>
      <c r="D12" s="17" t="s">
        <v>31</v>
      </c>
      <c r="E12" s="17" t="s">
        <v>32</v>
      </c>
    </row>
    <row r="13" spans="2:5" ht="21.75" customHeight="1" x14ac:dyDescent="0.2">
      <c r="B13" s="18" t="s">
        <v>33</v>
      </c>
      <c r="C13" s="19" t="s">
        <v>34</v>
      </c>
      <c r="D13" s="19" t="s">
        <v>35</v>
      </c>
      <c r="E13" s="19" t="s">
        <v>36</v>
      </c>
    </row>
    <row r="14" spans="2:5" ht="21.75" customHeight="1" x14ac:dyDescent="0.2">
      <c r="B14" s="16" t="s">
        <v>37</v>
      </c>
      <c r="C14" s="17" t="s">
        <v>38</v>
      </c>
      <c r="D14" s="17" t="s">
        <v>39</v>
      </c>
      <c r="E14" s="17" t="s">
        <v>40</v>
      </c>
    </row>
    <row r="16" spans="2:5" ht="21.75" customHeight="1" x14ac:dyDescent="0.2">
      <c r="B16" s="12" t="s">
        <v>41</v>
      </c>
      <c r="C16" s="12"/>
      <c r="D16" s="12"/>
      <c r="E16" s="12"/>
    </row>
    <row r="17" spans="2:5" ht="19.5" customHeight="1" x14ac:dyDescent="0.2">
      <c r="B17" s="20" t="s">
        <v>42</v>
      </c>
      <c r="C17" s="20" t="s">
        <v>43</v>
      </c>
      <c r="D17" s="20" t="s">
        <v>44</v>
      </c>
      <c r="E17" s="21" t="s">
        <v>45</v>
      </c>
    </row>
    <row r="18" spans="2:5" ht="48" customHeight="1" x14ac:dyDescent="0.2">
      <c r="B18" s="16" t="s">
        <v>46</v>
      </c>
      <c r="C18" s="22" t="s">
        <v>47</v>
      </c>
      <c r="D18" s="23" t="s">
        <v>48</v>
      </c>
      <c r="E18" s="24" t="s">
        <v>49</v>
      </c>
    </row>
    <row r="19" spans="2:5" ht="48" customHeight="1" x14ac:dyDescent="0.2">
      <c r="B19" s="18" t="s">
        <v>50</v>
      </c>
      <c r="C19" s="25" t="s">
        <v>51</v>
      </c>
      <c r="D19" s="26" t="s">
        <v>52</v>
      </c>
      <c r="E19" s="27" t="s">
        <v>53</v>
      </c>
    </row>
    <row r="20" spans="2:5" ht="48" customHeight="1" x14ac:dyDescent="0.2">
      <c r="B20" s="16" t="s">
        <v>54</v>
      </c>
      <c r="C20" s="22" t="s">
        <v>55</v>
      </c>
      <c r="D20" s="23" t="s">
        <v>56</v>
      </c>
      <c r="E20" s="24" t="s">
        <v>57</v>
      </c>
    </row>
    <row r="21" spans="2:5" ht="48" customHeight="1" x14ac:dyDescent="0.2">
      <c r="B21" s="18" t="s">
        <v>58</v>
      </c>
      <c r="C21" s="25" t="s">
        <v>59</v>
      </c>
      <c r="D21" s="26" t="s">
        <v>60</v>
      </c>
      <c r="E21" s="27" t="s">
        <v>61</v>
      </c>
    </row>
    <row r="23" spans="2:5" ht="21.75" customHeight="1" x14ac:dyDescent="0.2">
      <c r="B23" s="12" t="s">
        <v>62</v>
      </c>
      <c r="C23" s="12"/>
      <c r="D23" s="12"/>
      <c r="E23" s="12"/>
    </row>
    <row r="24" spans="2:5" ht="19.5" customHeight="1" x14ac:dyDescent="0.2">
      <c r="B24" s="28" t="s">
        <v>63</v>
      </c>
      <c r="C24" s="21" t="s">
        <v>64</v>
      </c>
      <c r="D24" s="15" t="s">
        <v>65</v>
      </c>
      <c r="E24" s="29" t="s">
        <v>66</v>
      </c>
    </row>
    <row r="25" spans="2:5" ht="51.75" customHeight="1" x14ac:dyDescent="0.2">
      <c r="B25" s="30" t="s">
        <v>67</v>
      </c>
      <c r="C25" s="31" t="s">
        <v>68</v>
      </c>
      <c r="D25" s="32" t="s">
        <v>69</v>
      </c>
      <c r="E25" s="33" t="s">
        <v>70</v>
      </c>
    </row>
    <row r="26" spans="2:5" ht="51.75" customHeight="1" x14ac:dyDescent="0.2">
      <c r="B26" s="34" t="s">
        <v>71</v>
      </c>
      <c r="C26" s="35" t="s">
        <v>72</v>
      </c>
      <c r="D26" s="36" t="s">
        <v>73</v>
      </c>
      <c r="E26" s="37" t="s">
        <v>74</v>
      </c>
    </row>
    <row r="27" spans="2:5" ht="51.75" customHeight="1" x14ac:dyDescent="0.2">
      <c r="B27" s="30" t="s">
        <v>75</v>
      </c>
      <c r="C27" s="31" t="s">
        <v>76</v>
      </c>
      <c r="D27" s="32" t="s">
        <v>77</v>
      </c>
      <c r="E27" s="33" t="s">
        <v>78</v>
      </c>
    </row>
    <row r="28" spans="2:5" ht="51.75" customHeight="1" x14ac:dyDescent="0.2">
      <c r="B28" s="34" t="s">
        <v>79</v>
      </c>
      <c r="C28" s="35" t="s">
        <v>80</v>
      </c>
      <c r="D28" s="36" t="s">
        <v>81</v>
      </c>
      <c r="E28" s="37" t="s">
        <v>82</v>
      </c>
    </row>
    <row r="29" spans="2:5" ht="51.75" customHeight="1" x14ac:dyDescent="0.2">
      <c r="B29" s="30" t="s">
        <v>83</v>
      </c>
      <c r="C29" s="31" t="s">
        <v>84</v>
      </c>
      <c r="D29" s="32" t="s">
        <v>85</v>
      </c>
      <c r="E29" s="33" t="s">
        <v>86</v>
      </c>
    </row>
  </sheetData>
  <mergeCells count="5">
    <mergeCell ref="B1:E1"/>
    <mergeCell ref="B2:E2"/>
    <mergeCell ref="B4:E4"/>
    <mergeCell ref="B16:E16"/>
    <mergeCell ref="B23:E2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9"/>
  <sheetViews>
    <sheetView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8.6640625" defaultRowHeight="15" customHeight="1" x14ac:dyDescent="0.2"/>
  <cols>
    <col min="1" max="1" width="2" customWidth="1"/>
    <col min="2" max="2" width="26" customWidth="1"/>
    <col min="3" max="4" width="34" customWidth="1"/>
    <col min="5" max="5" width="2" customWidth="1"/>
  </cols>
  <sheetData>
    <row r="1" spans="2:4" ht="30" customHeight="1" x14ac:dyDescent="0.2">
      <c r="B1" s="11" t="s">
        <v>87</v>
      </c>
      <c r="C1" s="11"/>
      <c r="D1" s="11"/>
    </row>
    <row r="2" spans="2:4" ht="24" customHeight="1" x14ac:dyDescent="0.2">
      <c r="B2" s="10" t="s">
        <v>88</v>
      </c>
      <c r="C2" s="10"/>
      <c r="D2" s="10"/>
    </row>
    <row r="4" spans="2:4" ht="21.75" customHeight="1" x14ac:dyDescent="0.2">
      <c r="B4" s="12" t="s">
        <v>89</v>
      </c>
      <c r="C4" s="12"/>
      <c r="D4" s="12"/>
    </row>
    <row r="5" spans="2:4" ht="84.75" customHeight="1" x14ac:dyDescent="0.2">
      <c r="B5" s="38" t="s">
        <v>90</v>
      </c>
      <c r="C5" s="39" t="s">
        <v>91</v>
      </c>
      <c r="D5" s="40" t="s">
        <v>92</v>
      </c>
    </row>
    <row r="6" spans="2:4" ht="84.75" customHeight="1" x14ac:dyDescent="0.2">
      <c r="B6" s="41" t="s">
        <v>93</v>
      </c>
      <c r="C6" s="42" t="s">
        <v>94</v>
      </c>
      <c r="D6" s="43" t="s">
        <v>95</v>
      </c>
    </row>
    <row r="7" spans="2:4" ht="84.75" customHeight="1" x14ac:dyDescent="0.2">
      <c r="B7" s="44" t="s">
        <v>96</v>
      </c>
      <c r="C7" s="45" t="s">
        <v>97</v>
      </c>
      <c r="D7" s="46" t="s">
        <v>98</v>
      </c>
    </row>
    <row r="8" spans="2:4" ht="84.75" customHeight="1" x14ac:dyDescent="0.2">
      <c r="B8" s="47" t="s">
        <v>99</v>
      </c>
      <c r="C8" s="48" t="s">
        <v>100</v>
      </c>
      <c r="D8" s="49" t="s">
        <v>101</v>
      </c>
    </row>
    <row r="9" spans="2:4" ht="84.75" customHeight="1" x14ac:dyDescent="0.2">
      <c r="B9" s="50" t="s">
        <v>102</v>
      </c>
      <c r="C9" s="51" t="s">
        <v>103</v>
      </c>
      <c r="D9" s="52" t="s">
        <v>104</v>
      </c>
    </row>
  </sheetData>
  <mergeCells count="3">
    <mergeCell ref="B1:D1"/>
    <mergeCell ref="B2:D2"/>
    <mergeCell ref="B4:D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15"/>
  <sheetViews>
    <sheetView zoomScaleNormal="100" workbookViewId="0">
      <pane xSplit="1" ySplit="3" topLeftCell="B4" activePane="bottomRight" state="frozen"/>
      <selection pane="topRight" activeCell="B1" sqref="B1"/>
      <selection pane="bottomLeft" activeCell="A4" sqref="A4"/>
      <selection pane="bottomRight" activeCell="E8" sqref="E8"/>
    </sheetView>
  </sheetViews>
  <sheetFormatPr baseColWidth="10" defaultColWidth="8.6640625" defaultRowHeight="15" customHeight="1" x14ac:dyDescent="0.2"/>
  <cols>
    <col min="1" max="1" width="2" customWidth="1"/>
    <col min="2" max="2" width="20" customWidth="1"/>
    <col min="3" max="3" width="26" customWidth="1"/>
    <col min="4" max="4" width="22" customWidth="1"/>
    <col min="5" max="5" width="26" customWidth="1"/>
    <col min="6" max="6" width="2" customWidth="1"/>
  </cols>
  <sheetData>
    <row r="1" spans="2:5" ht="27.75" customHeight="1" x14ac:dyDescent="0.2">
      <c r="B1" s="9" t="s">
        <v>105</v>
      </c>
      <c r="C1" s="9"/>
      <c r="D1" s="9"/>
      <c r="E1" s="9"/>
    </row>
    <row r="3" spans="2:5" ht="21.75" customHeight="1" x14ac:dyDescent="0.2">
      <c r="B3" s="12" t="s">
        <v>106</v>
      </c>
      <c r="C3" s="12"/>
      <c r="D3" s="12"/>
      <c r="E3" s="12"/>
    </row>
    <row r="4" spans="2:5" ht="21.75" customHeight="1" x14ac:dyDescent="0.2">
      <c r="B4" s="20" t="s">
        <v>107</v>
      </c>
      <c r="C4" s="20" t="s">
        <v>108</v>
      </c>
      <c r="D4" s="20" t="s">
        <v>109</v>
      </c>
      <c r="E4" s="20" t="s">
        <v>44</v>
      </c>
    </row>
    <row r="5" spans="2:5" ht="109.5" customHeight="1" x14ac:dyDescent="0.2">
      <c r="B5" s="38" t="s">
        <v>110</v>
      </c>
      <c r="C5" s="39" t="s">
        <v>111</v>
      </c>
      <c r="D5" s="53" t="s">
        <v>112</v>
      </c>
      <c r="E5" s="54" t="s">
        <v>113</v>
      </c>
    </row>
    <row r="6" spans="2:5" ht="109.5" customHeight="1" x14ac:dyDescent="0.2">
      <c r="B6" s="47" t="s">
        <v>114</v>
      </c>
      <c r="C6" s="48" t="s">
        <v>115</v>
      </c>
      <c r="D6" s="55" t="s">
        <v>116</v>
      </c>
      <c r="E6" s="56" t="s">
        <v>117</v>
      </c>
    </row>
    <row r="7" spans="2:5" ht="109.5" customHeight="1" x14ac:dyDescent="0.2">
      <c r="B7" s="50" t="s">
        <v>118</v>
      </c>
      <c r="C7" s="51" t="s">
        <v>119</v>
      </c>
      <c r="D7" s="57" t="s">
        <v>120</v>
      </c>
      <c r="E7" s="58" t="s">
        <v>121</v>
      </c>
    </row>
    <row r="8" spans="2:5" ht="109.5" customHeight="1" x14ac:dyDescent="0.2">
      <c r="B8" s="41" t="s">
        <v>122</v>
      </c>
      <c r="C8" s="42" t="s">
        <v>123</v>
      </c>
      <c r="D8" s="59" t="s">
        <v>124</v>
      </c>
      <c r="E8" s="60" t="s">
        <v>125</v>
      </c>
    </row>
    <row r="9" spans="2:5" ht="109.5" customHeight="1" x14ac:dyDescent="0.2">
      <c r="B9" s="44" t="s">
        <v>126</v>
      </c>
      <c r="C9" s="45" t="s">
        <v>127</v>
      </c>
      <c r="D9" s="61" t="s">
        <v>128</v>
      </c>
      <c r="E9" s="62" t="s">
        <v>129</v>
      </c>
    </row>
    <row r="11" spans="2:5" ht="21.75" customHeight="1" x14ac:dyDescent="0.2">
      <c r="B11" s="12" t="s">
        <v>130</v>
      </c>
      <c r="C11" s="12"/>
      <c r="D11" s="12"/>
      <c r="E11" s="12"/>
    </row>
    <row r="12" spans="2:5" ht="21.75" customHeight="1" x14ac:dyDescent="0.2">
      <c r="B12" s="20" t="s">
        <v>131</v>
      </c>
      <c r="C12" s="20" t="s">
        <v>132</v>
      </c>
      <c r="D12" s="20" t="s">
        <v>133</v>
      </c>
      <c r="E12" s="20" t="s">
        <v>134</v>
      </c>
    </row>
    <row r="13" spans="2:5" ht="49.5" customHeight="1" x14ac:dyDescent="0.2">
      <c r="B13" s="47" t="s">
        <v>135</v>
      </c>
      <c r="C13" s="48" t="s">
        <v>136</v>
      </c>
      <c r="D13" s="48" t="s">
        <v>137</v>
      </c>
      <c r="E13" s="63" t="s">
        <v>138</v>
      </c>
    </row>
    <row r="14" spans="2:5" ht="49.5" customHeight="1" x14ac:dyDescent="0.2">
      <c r="B14" s="38" t="s">
        <v>139</v>
      </c>
      <c r="C14" s="39" t="s">
        <v>140</v>
      </c>
      <c r="D14" s="39" t="s">
        <v>141</v>
      </c>
      <c r="E14" s="64" t="s">
        <v>142</v>
      </c>
    </row>
    <row r="15" spans="2:5" ht="49.5" customHeight="1" x14ac:dyDescent="0.2">
      <c r="B15" s="50" t="s">
        <v>143</v>
      </c>
      <c r="C15" s="51" t="s">
        <v>144</v>
      </c>
      <c r="D15" s="51" t="s">
        <v>145</v>
      </c>
      <c r="E15" s="65" t="s">
        <v>146</v>
      </c>
    </row>
  </sheetData>
  <mergeCells count="3">
    <mergeCell ref="B1:E1"/>
    <mergeCell ref="B3:E3"/>
    <mergeCell ref="B11:E1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D21"/>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5" customHeight="1" x14ac:dyDescent="0.2"/>
  <cols>
    <col min="1" max="1" width="2" customWidth="1"/>
    <col min="2" max="2" width="22" customWidth="1"/>
    <col min="3" max="4" width="28" customWidth="1"/>
    <col min="5" max="5" width="2" customWidth="1"/>
  </cols>
  <sheetData>
    <row r="1" spans="2:4" ht="27.75" customHeight="1" x14ac:dyDescent="0.2">
      <c r="B1" s="9" t="s">
        <v>147</v>
      </c>
      <c r="C1" s="9"/>
      <c r="D1" s="9"/>
    </row>
    <row r="3" spans="2:4" ht="21.75" customHeight="1" x14ac:dyDescent="0.2">
      <c r="B3" s="12" t="s">
        <v>148</v>
      </c>
      <c r="C3" s="12"/>
      <c r="D3" s="12"/>
    </row>
    <row r="4" spans="2:4" ht="21.75" customHeight="1" x14ac:dyDescent="0.2">
      <c r="B4" s="20" t="s">
        <v>149</v>
      </c>
      <c r="C4" s="21" t="s">
        <v>150</v>
      </c>
      <c r="D4" s="28" t="s">
        <v>151</v>
      </c>
    </row>
    <row r="5" spans="2:4" ht="48" customHeight="1" x14ac:dyDescent="0.2">
      <c r="B5" s="16" t="s">
        <v>152</v>
      </c>
      <c r="C5" s="31" t="s">
        <v>153</v>
      </c>
      <c r="D5" s="66" t="s">
        <v>154</v>
      </c>
    </row>
    <row r="6" spans="2:4" ht="48" customHeight="1" x14ac:dyDescent="0.2">
      <c r="B6" s="18" t="s">
        <v>155</v>
      </c>
      <c r="C6" s="35" t="s">
        <v>156</v>
      </c>
      <c r="D6" s="67" t="s">
        <v>157</v>
      </c>
    </row>
    <row r="7" spans="2:4" ht="48" customHeight="1" x14ac:dyDescent="0.2">
      <c r="B7" s="16" t="s">
        <v>158</v>
      </c>
      <c r="C7" s="31" t="s">
        <v>159</v>
      </c>
      <c r="D7" s="66" t="s">
        <v>160</v>
      </c>
    </row>
    <row r="8" spans="2:4" ht="48" customHeight="1" x14ac:dyDescent="0.2">
      <c r="B8" s="18" t="s">
        <v>161</v>
      </c>
      <c r="C8" s="35" t="s">
        <v>162</v>
      </c>
      <c r="D8" s="67" t="s">
        <v>163</v>
      </c>
    </row>
    <row r="9" spans="2:4" ht="48" customHeight="1" x14ac:dyDescent="0.2">
      <c r="B9" s="16" t="s">
        <v>164</v>
      </c>
      <c r="C9" s="31" t="s">
        <v>165</v>
      </c>
      <c r="D9" s="66" t="s">
        <v>166</v>
      </c>
    </row>
    <row r="10" spans="2:4" ht="48" customHeight="1" x14ac:dyDescent="0.2">
      <c r="B10" s="18" t="s">
        <v>167</v>
      </c>
      <c r="C10" s="35" t="s">
        <v>168</v>
      </c>
      <c r="D10" s="67" t="s">
        <v>169</v>
      </c>
    </row>
    <row r="11" spans="2:4" ht="48" customHeight="1" x14ac:dyDescent="0.2">
      <c r="B11" s="16" t="s">
        <v>170</v>
      </c>
      <c r="C11" s="31" t="s">
        <v>171</v>
      </c>
      <c r="D11" s="66" t="s">
        <v>172</v>
      </c>
    </row>
    <row r="12" spans="2:4" ht="48" customHeight="1" x14ac:dyDescent="0.2">
      <c r="B12" s="18" t="s">
        <v>173</v>
      </c>
      <c r="C12" s="35" t="s">
        <v>174</v>
      </c>
      <c r="D12" s="67" t="s">
        <v>175</v>
      </c>
    </row>
    <row r="13" spans="2:4" ht="48" customHeight="1" x14ac:dyDescent="0.2">
      <c r="B13" s="16" t="s">
        <v>176</v>
      </c>
      <c r="C13" s="31" t="s">
        <v>177</v>
      </c>
      <c r="D13" s="66" t="s">
        <v>178</v>
      </c>
    </row>
    <row r="14" spans="2:4" ht="48" customHeight="1" x14ac:dyDescent="0.2">
      <c r="B14" s="18" t="s">
        <v>179</v>
      </c>
      <c r="C14" s="35" t="s">
        <v>180</v>
      </c>
      <c r="D14" s="67" t="s">
        <v>181</v>
      </c>
    </row>
    <row r="15" spans="2:4" ht="48" customHeight="1" x14ac:dyDescent="0.2">
      <c r="B15" s="16" t="s">
        <v>182</v>
      </c>
      <c r="C15" s="31" t="s">
        <v>183</v>
      </c>
      <c r="D15" s="66" t="s">
        <v>184</v>
      </c>
    </row>
    <row r="16" spans="2:4" ht="48" customHeight="1" x14ac:dyDescent="0.2">
      <c r="B16" s="18" t="s">
        <v>185</v>
      </c>
      <c r="C16" s="35" t="s">
        <v>186</v>
      </c>
      <c r="D16" s="67" t="s">
        <v>187</v>
      </c>
    </row>
    <row r="17" spans="2:4" ht="48" customHeight="1" x14ac:dyDescent="0.2">
      <c r="B17" s="16" t="s">
        <v>188</v>
      </c>
      <c r="C17" s="31" t="s">
        <v>189</v>
      </c>
      <c r="D17" s="66" t="s">
        <v>190</v>
      </c>
    </row>
    <row r="18" spans="2:4" ht="48" customHeight="1" x14ac:dyDescent="0.2">
      <c r="B18" s="18" t="s">
        <v>191</v>
      </c>
      <c r="C18" s="35" t="s">
        <v>192</v>
      </c>
      <c r="D18" s="67" t="s">
        <v>193</v>
      </c>
    </row>
    <row r="19" spans="2:4" ht="48" customHeight="1" x14ac:dyDescent="0.2">
      <c r="B19" s="16" t="s">
        <v>194</v>
      </c>
      <c r="C19" s="31" t="s">
        <v>195</v>
      </c>
      <c r="D19" s="66" t="s">
        <v>196</v>
      </c>
    </row>
    <row r="20" spans="2:4" ht="48" customHeight="1" x14ac:dyDescent="0.2">
      <c r="B20" s="18" t="s">
        <v>197</v>
      </c>
      <c r="C20" s="35" t="s">
        <v>198</v>
      </c>
      <c r="D20" s="67" t="s">
        <v>199</v>
      </c>
    </row>
    <row r="21" spans="2:4" ht="48" customHeight="1" x14ac:dyDescent="0.2">
      <c r="B21" s="16" t="s">
        <v>200</v>
      </c>
      <c r="C21" s="31" t="s">
        <v>201</v>
      </c>
      <c r="D21" s="66" t="s">
        <v>202</v>
      </c>
    </row>
  </sheetData>
  <mergeCells count="2">
    <mergeCell ref="B1:D1"/>
    <mergeCell ref="B3:D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29"/>
  <sheetViews>
    <sheetView zoomScaleNormal="100" workbookViewId="0">
      <pane xSplit="2" ySplit="2" topLeftCell="C5" activePane="bottomRight" state="frozen"/>
      <selection pane="topRight" activeCell="C1" sqref="C1"/>
      <selection pane="bottomLeft" activeCell="A3" sqref="A3"/>
      <selection pane="bottomRight"/>
    </sheetView>
  </sheetViews>
  <sheetFormatPr baseColWidth="10" defaultColWidth="8.6640625" defaultRowHeight="15" customHeight="1" x14ac:dyDescent="0.2"/>
  <cols>
    <col min="1" max="1" width="2" customWidth="1"/>
    <col min="2" max="2" width="30" customWidth="1"/>
    <col min="3" max="3" width="4" customWidth="1"/>
    <col min="4" max="8" width="14" customWidth="1"/>
    <col min="9" max="9" width="2" customWidth="1"/>
  </cols>
  <sheetData>
    <row r="1" spans="2:8" ht="27.75" customHeight="1" x14ac:dyDescent="0.2">
      <c r="B1" s="9" t="s">
        <v>203</v>
      </c>
      <c r="C1" s="9"/>
      <c r="D1" s="9"/>
      <c r="E1" s="9"/>
      <c r="F1" s="9"/>
      <c r="G1" s="9"/>
      <c r="H1" s="9"/>
    </row>
    <row r="2" spans="2:8" ht="19.5" customHeight="1" x14ac:dyDescent="0.2">
      <c r="B2" s="68" t="s">
        <v>204</v>
      </c>
      <c r="D2" s="15" t="s">
        <v>205</v>
      </c>
      <c r="E2" s="15" t="s">
        <v>206</v>
      </c>
      <c r="F2" s="15" t="s">
        <v>207</v>
      </c>
      <c r="G2" s="15" t="s">
        <v>208</v>
      </c>
      <c r="H2" s="15" t="s">
        <v>209</v>
      </c>
    </row>
    <row r="3" spans="2:8" ht="19.5" customHeight="1" x14ac:dyDescent="0.2">
      <c r="B3" s="12" t="s">
        <v>210</v>
      </c>
      <c r="C3" s="12"/>
      <c r="D3" s="12"/>
      <c r="E3" s="12"/>
      <c r="F3" s="12"/>
      <c r="G3" s="12"/>
      <c r="H3" s="12"/>
    </row>
    <row r="4" spans="2:8" ht="18" customHeight="1" x14ac:dyDescent="0.2">
      <c r="B4" s="17" t="s">
        <v>211</v>
      </c>
      <c r="D4" s="69">
        <v>10</v>
      </c>
      <c r="E4" s="69">
        <v>200</v>
      </c>
      <c r="F4" s="69">
        <v>800</v>
      </c>
      <c r="G4" s="69">
        <v>3000</v>
      </c>
      <c r="H4" s="69">
        <v>15000</v>
      </c>
    </row>
    <row r="5" spans="2:8" ht="18" customHeight="1" x14ac:dyDescent="0.2">
      <c r="B5" s="17" t="s">
        <v>212</v>
      </c>
      <c r="D5" s="69">
        <v>4</v>
      </c>
      <c r="E5" s="69">
        <v>7</v>
      </c>
      <c r="F5" s="69">
        <v>10</v>
      </c>
      <c r="G5" s="69">
        <v>12</v>
      </c>
      <c r="H5" s="69">
        <v>14</v>
      </c>
    </row>
    <row r="6" spans="2:8" ht="18" customHeight="1" x14ac:dyDescent="0.2">
      <c r="B6" s="70" t="s">
        <v>213</v>
      </c>
      <c r="D6" s="71">
        <f>D4*D5*365/1000</f>
        <v>14.6</v>
      </c>
      <c r="E6" s="71">
        <f>E4*E5*365/1000</f>
        <v>511</v>
      </c>
      <c r="F6" s="71">
        <f>F4*F5*365/1000</f>
        <v>2920</v>
      </c>
      <c r="G6" s="71">
        <f>G4*G5*365/1000</f>
        <v>13140</v>
      </c>
      <c r="H6" s="71">
        <f>H4*H5*365/1000</f>
        <v>76650</v>
      </c>
    </row>
    <row r="8" spans="2:8" ht="19.5" customHeight="1" x14ac:dyDescent="0.2">
      <c r="B8" s="12" t="s">
        <v>214</v>
      </c>
      <c r="C8" s="12"/>
      <c r="D8" s="12"/>
      <c r="E8" s="12"/>
      <c r="F8" s="12"/>
      <c r="G8" s="12"/>
      <c r="H8" s="12"/>
    </row>
    <row r="9" spans="2:8" ht="18" customHeight="1" x14ac:dyDescent="0.2">
      <c r="B9" s="17" t="s">
        <v>215</v>
      </c>
      <c r="D9" s="69">
        <v>1500</v>
      </c>
      <c r="E9" s="69">
        <v>1500</v>
      </c>
      <c r="F9" s="69">
        <v>1500</v>
      </c>
      <c r="G9" s="69">
        <v>1500</v>
      </c>
      <c r="H9" s="69">
        <v>1500</v>
      </c>
    </row>
    <row r="10" spans="2:8" ht="18" customHeight="1" x14ac:dyDescent="0.2">
      <c r="B10" s="17" t="s">
        <v>216</v>
      </c>
      <c r="D10" s="69">
        <v>500</v>
      </c>
      <c r="E10" s="69">
        <v>500</v>
      </c>
      <c r="F10" s="69">
        <v>500</v>
      </c>
      <c r="G10" s="69">
        <v>500</v>
      </c>
      <c r="H10" s="69">
        <v>500</v>
      </c>
    </row>
    <row r="11" spans="2:8" ht="18" customHeight="1" x14ac:dyDescent="0.2">
      <c r="B11" s="17" t="s">
        <v>217</v>
      </c>
      <c r="D11" s="69">
        <v>3000</v>
      </c>
      <c r="E11" s="69">
        <v>3000</v>
      </c>
      <c r="F11" s="69">
        <v>3000</v>
      </c>
      <c r="G11" s="69">
        <v>3000</v>
      </c>
      <c r="H11" s="69">
        <v>3000</v>
      </c>
    </row>
    <row r="12" spans="2:8" ht="18" customHeight="1" x14ac:dyDescent="0.2">
      <c r="B12" s="17" t="s">
        <v>218</v>
      </c>
      <c r="D12" s="69">
        <v>2000</v>
      </c>
      <c r="E12" s="69">
        <v>2000</v>
      </c>
      <c r="F12" s="69">
        <v>2000</v>
      </c>
      <c r="G12" s="69">
        <v>2000</v>
      </c>
      <c r="H12" s="69">
        <v>2000</v>
      </c>
    </row>
    <row r="13" spans="2:8" ht="18" customHeight="1" x14ac:dyDescent="0.2">
      <c r="B13" s="17" t="s">
        <v>219</v>
      </c>
      <c r="D13" s="69">
        <v>84</v>
      </c>
      <c r="E13" s="69">
        <v>85</v>
      </c>
      <c r="F13" s="69">
        <v>86</v>
      </c>
      <c r="G13" s="69">
        <v>87</v>
      </c>
      <c r="H13" s="69">
        <v>88</v>
      </c>
    </row>
    <row r="14" spans="2:8" ht="18" customHeight="1" x14ac:dyDescent="0.2">
      <c r="B14" s="72" t="s">
        <v>220</v>
      </c>
      <c r="D14" s="73">
        <f>(D9*1/1000000+D10*5/1000000+D11*1/1000000+D12*5/1000000)*D13</f>
        <v>1.4280000000000002</v>
      </c>
      <c r="E14" s="73">
        <f>(E9*1/1000000+E10*5/1000000+E11*1/1000000+E12*5/1000000)*E13</f>
        <v>1.4450000000000001</v>
      </c>
      <c r="F14" s="73">
        <f>(F9*1/1000000+F10*5/1000000+F11*1/1000000+F12*5/1000000)*F13</f>
        <v>1.4620000000000002</v>
      </c>
      <c r="G14" s="73">
        <f>(G9*1/1000000+G10*5/1000000+G11*1/1000000+G12*5/1000000)*G13</f>
        <v>1.4790000000000001</v>
      </c>
      <c r="H14" s="73">
        <f>(H9*1/1000000+H10*5/1000000+H11*1/1000000+H12*5/1000000)*H13</f>
        <v>1.496</v>
      </c>
    </row>
    <row r="15" spans="2:8" ht="18" customHeight="1" x14ac:dyDescent="0.2">
      <c r="B15" s="74" t="s">
        <v>221</v>
      </c>
      <c r="D15" s="75">
        <f>D6*1000*D14/10000000</f>
        <v>2.0848800000000003E-3</v>
      </c>
      <c r="E15" s="75">
        <f>E6*1000*E14/10000000</f>
        <v>7.3839500000000002E-2</v>
      </c>
      <c r="F15" s="75">
        <f>F6*1000*F14/10000000</f>
        <v>0.42690400000000012</v>
      </c>
      <c r="G15" s="75">
        <f>G6*1000*G14/10000000</f>
        <v>1.943406</v>
      </c>
      <c r="H15" s="75">
        <f>H6*1000*H14/10000000</f>
        <v>11.466839999999999</v>
      </c>
    </row>
    <row r="17" spans="2:8" ht="19.5" customHeight="1" x14ac:dyDescent="0.2">
      <c r="B17" s="12" t="s">
        <v>222</v>
      </c>
      <c r="C17" s="12"/>
      <c r="D17" s="12"/>
      <c r="E17" s="12"/>
      <c r="F17" s="12"/>
      <c r="G17" s="12"/>
      <c r="H17" s="12"/>
    </row>
    <row r="18" spans="2:8" ht="18" customHeight="1" x14ac:dyDescent="0.2">
      <c r="B18" s="17" t="s">
        <v>223</v>
      </c>
      <c r="D18" s="69">
        <v>50000</v>
      </c>
      <c r="E18" s="69">
        <v>80000</v>
      </c>
      <c r="F18" s="69">
        <v>120000</v>
      </c>
      <c r="G18" s="69">
        <v>150000</v>
      </c>
      <c r="H18" s="69">
        <v>180000</v>
      </c>
    </row>
    <row r="19" spans="2:8" ht="18" customHeight="1" x14ac:dyDescent="0.2">
      <c r="B19" s="17" t="s">
        <v>224</v>
      </c>
      <c r="D19" s="69">
        <v>0</v>
      </c>
      <c r="E19" s="69">
        <v>200</v>
      </c>
      <c r="F19" s="69">
        <v>400</v>
      </c>
      <c r="G19" s="69">
        <v>500</v>
      </c>
      <c r="H19" s="69">
        <v>500</v>
      </c>
    </row>
    <row r="20" spans="2:8" ht="18" customHeight="1" x14ac:dyDescent="0.2">
      <c r="B20" s="17" t="s">
        <v>225</v>
      </c>
      <c r="D20" s="69">
        <v>0</v>
      </c>
      <c r="E20" s="69">
        <v>50</v>
      </c>
      <c r="F20" s="69">
        <v>100</v>
      </c>
      <c r="G20" s="69">
        <v>150</v>
      </c>
      <c r="H20" s="69">
        <v>200</v>
      </c>
    </row>
    <row r="21" spans="2:8" ht="18" customHeight="1" x14ac:dyDescent="0.2">
      <c r="B21" s="17" t="s">
        <v>226</v>
      </c>
      <c r="D21" s="69">
        <v>0</v>
      </c>
      <c r="E21" s="69">
        <v>0.1</v>
      </c>
      <c r="F21" s="69">
        <v>0.2</v>
      </c>
      <c r="G21" s="69">
        <v>0.25</v>
      </c>
      <c r="H21" s="69">
        <v>0.3</v>
      </c>
    </row>
    <row r="22" spans="2:8" ht="18" customHeight="1" x14ac:dyDescent="0.2">
      <c r="B22" s="19" t="s">
        <v>227</v>
      </c>
      <c r="D22" s="76">
        <f>D4*D18/10000000</f>
        <v>0.05</v>
      </c>
      <c r="E22" s="76">
        <f>E4*E18/10000000</f>
        <v>1.6</v>
      </c>
      <c r="F22" s="76">
        <f>F4*F18/10000000</f>
        <v>9.6</v>
      </c>
      <c r="G22" s="76">
        <f>G4*G18/10000000</f>
        <v>45</v>
      </c>
      <c r="H22" s="76">
        <f>H4*H18/10000000</f>
        <v>270</v>
      </c>
    </row>
    <row r="23" spans="2:8" ht="18" customHeight="1" x14ac:dyDescent="0.2">
      <c r="B23" s="19" t="s">
        <v>228</v>
      </c>
      <c r="D23" s="76">
        <f>D6*1000*D19/10000000</f>
        <v>0</v>
      </c>
      <c r="E23" s="76">
        <f>E6*1000*E19/10000000</f>
        <v>10.220000000000001</v>
      </c>
      <c r="F23" s="76">
        <f>F6*1000*F19/10000000</f>
        <v>116.8</v>
      </c>
      <c r="G23" s="76">
        <f>G6*1000*G19/10000000</f>
        <v>657</v>
      </c>
      <c r="H23" s="76">
        <f>H6*1000*H19/10000000</f>
        <v>3832.5</v>
      </c>
    </row>
    <row r="24" spans="2:8" ht="18" customHeight="1" x14ac:dyDescent="0.2">
      <c r="B24" s="19" t="s">
        <v>229</v>
      </c>
      <c r="D24" s="76">
        <f>D6*1000*D21*D20/10000000</f>
        <v>0</v>
      </c>
      <c r="E24" s="76">
        <f>E6*1000*E21*E20/10000000</f>
        <v>0.2555</v>
      </c>
      <c r="F24" s="76">
        <f>F6*1000*F21*F20/10000000</f>
        <v>5.84</v>
      </c>
      <c r="G24" s="76">
        <f>G6*1000*G21*G20/10000000</f>
        <v>49.274999999999999</v>
      </c>
      <c r="H24" s="76">
        <f>H6*1000*H21*H20/10000000</f>
        <v>459.9</v>
      </c>
    </row>
    <row r="25" spans="2:8" ht="18" customHeight="1" x14ac:dyDescent="0.2">
      <c r="B25" s="77" t="s">
        <v>230</v>
      </c>
      <c r="D25" s="78">
        <f>D22+D23+D24</f>
        <v>0.05</v>
      </c>
      <c r="E25" s="78">
        <f>E22+E23+E24</f>
        <v>12.0755</v>
      </c>
      <c r="F25" s="78">
        <f>F22+F23+F24</f>
        <v>132.23999999999998</v>
      </c>
      <c r="G25" s="78">
        <f>G22+G23+G24</f>
        <v>751.27499999999998</v>
      </c>
      <c r="H25" s="78">
        <f>H22+H23+H24</f>
        <v>4562.3999999999996</v>
      </c>
    </row>
    <row r="26" spans="2:8" ht="18" customHeight="1" x14ac:dyDescent="0.2">
      <c r="B26" s="72" t="s">
        <v>231</v>
      </c>
      <c r="D26" s="79">
        <f>IF(D25=0,0,D15/D25)</f>
        <v>4.1697600000000001E-2</v>
      </c>
      <c r="E26" s="79">
        <f>IF(E25=0,0,E15/E25)</f>
        <v>6.1148192621423543E-3</v>
      </c>
      <c r="F26" s="79">
        <f>IF(F25=0,0,F15/F25)</f>
        <v>3.2282516636418647E-3</v>
      </c>
      <c r="G26" s="79">
        <f>IF(G25=0,0,G15/G25)</f>
        <v>2.5868104222821204E-3</v>
      </c>
      <c r="H26" s="79">
        <f>IF(H25=0,0,H15/H25)</f>
        <v>2.5133350867964231E-3</v>
      </c>
    </row>
    <row r="27" spans="2:8" ht="18" customHeight="1" x14ac:dyDescent="0.2">
      <c r="B27" s="80" t="s">
        <v>232</v>
      </c>
      <c r="D27" s="81">
        <f>IF(D15=0,0,D25/D15)</f>
        <v>23.982195617973215</v>
      </c>
      <c r="E27" s="81">
        <f>IF(E15=0,0,E25/E15)</f>
        <v>163.53713121026007</v>
      </c>
      <c r="F27" s="81">
        <f>IF(F15=0,0,F25/F15)</f>
        <v>309.76519311133171</v>
      </c>
      <c r="G27" s="81">
        <f>IF(G15=0,0,G25/G15)</f>
        <v>386.57645391647446</v>
      </c>
      <c r="H27" s="81">
        <f>IF(H15=0,0,H25/H15)</f>
        <v>397.87770649978546</v>
      </c>
    </row>
    <row r="29" spans="2:8" ht="60" customHeight="1" x14ac:dyDescent="0.2">
      <c r="B29" s="8" t="s">
        <v>233</v>
      </c>
      <c r="C29" s="8"/>
      <c r="D29" s="8"/>
      <c r="E29" s="8"/>
      <c r="F29" s="8"/>
      <c r="G29" s="8"/>
      <c r="H29" s="8"/>
    </row>
  </sheetData>
  <mergeCells count="5">
    <mergeCell ref="B1:H1"/>
    <mergeCell ref="B3:H3"/>
    <mergeCell ref="B8:H8"/>
    <mergeCell ref="B17:H17"/>
    <mergeCell ref="B29:H2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F19"/>
  <sheetViews>
    <sheetView zoomScaleNormal="100" workbookViewId="0">
      <pane xSplit="1" ySplit="3" topLeftCell="B5" activePane="bottomRight" state="frozen"/>
      <selection pane="topRight" activeCell="B1" sqref="B1"/>
      <selection pane="bottomLeft" activeCell="A4" sqref="A4"/>
      <selection pane="bottomRight"/>
    </sheetView>
  </sheetViews>
  <sheetFormatPr baseColWidth="10" defaultColWidth="8.6640625" defaultRowHeight="15" customHeight="1" x14ac:dyDescent="0.2"/>
  <cols>
    <col min="1" max="1" width="2" customWidth="1"/>
    <col min="2" max="2" width="26" customWidth="1"/>
    <col min="3" max="6" width="18" customWidth="1"/>
    <col min="7" max="7" width="2" customWidth="1"/>
  </cols>
  <sheetData>
    <row r="1" spans="2:6" ht="27.75" customHeight="1" x14ac:dyDescent="0.2">
      <c r="B1" s="9" t="s">
        <v>234</v>
      </c>
      <c r="C1" s="9"/>
      <c r="D1" s="9"/>
      <c r="E1" s="9"/>
      <c r="F1" s="9"/>
    </row>
    <row r="3" spans="2:6" ht="21.75" customHeight="1" x14ac:dyDescent="0.2">
      <c r="B3" s="12" t="s">
        <v>235</v>
      </c>
      <c r="C3" s="12"/>
      <c r="D3" s="12"/>
      <c r="E3" s="12"/>
      <c r="F3" s="12"/>
    </row>
    <row r="4" spans="2:6" ht="21.75" customHeight="1" x14ac:dyDescent="0.2">
      <c r="B4" s="20" t="s">
        <v>236</v>
      </c>
      <c r="C4" s="20" t="s">
        <v>237</v>
      </c>
      <c r="D4" s="20" t="s">
        <v>238</v>
      </c>
      <c r="E4" s="20" t="s">
        <v>239</v>
      </c>
      <c r="F4" s="20" t="s">
        <v>240</v>
      </c>
    </row>
    <row r="5" spans="2:6" ht="24" customHeight="1" x14ac:dyDescent="0.2">
      <c r="B5" s="16" t="s">
        <v>241</v>
      </c>
      <c r="C5" s="82">
        <v>8400</v>
      </c>
      <c r="D5" s="17" t="s">
        <v>242</v>
      </c>
      <c r="E5" s="83">
        <v>0.3</v>
      </c>
      <c r="F5" s="84">
        <f t="shared" ref="F5:F10" si="0">C5*E5</f>
        <v>2520</v>
      </c>
    </row>
    <row r="6" spans="2:6" ht="24" customHeight="1" x14ac:dyDescent="0.2">
      <c r="B6" s="18" t="s">
        <v>243</v>
      </c>
      <c r="C6" s="85">
        <v>2200</v>
      </c>
      <c r="D6" s="19" t="s">
        <v>244</v>
      </c>
      <c r="E6" s="86">
        <v>0.15</v>
      </c>
      <c r="F6" s="87">
        <f t="shared" si="0"/>
        <v>330</v>
      </c>
    </row>
    <row r="7" spans="2:6" ht="24" customHeight="1" x14ac:dyDescent="0.2">
      <c r="B7" s="16" t="s">
        <v>245</v>
      </c>
      <c r="C7" s="82">
        <v>1800</v>
      </c>
      <c r="D7" s="17" t="s">
        <v>246</v>
      </c>
      <c r="E7" s="83">
        <v>0.1</v>
      </c>
      <c r="F7" s="84">
        <f t="shared" si="0"/>
        <v>180</v>
      </c>
    </row>
    <row r="8" spans="2:6" ht="24" customHeight="1" x14ac:dyDescent="0.2">
      <c r="B8" s="18" t="s">
        <v>247</v>
      </c>
      <c r="C8" s="85">
        <v>400</v>
      </c>
      <c r="D8" s="19" t="s">
        <v>248</v>
      </c>
      <c r="E8" s="86">
        <v>0.2</v>
      </c>
      <c r="F8" s="87">
        <f t="shared" si="0"/>
        <v>80</v>
      </c>
    </row>
    <row r="9" spans="2:6" ht="24" customHeight="1" x14ac:dyDescent="0.2">
      <c r="B9" s="16" t="s">
        <v>249</v>
      </c>
      <c r="C9" s="82">
        <v>12000</v>
      </c>
      <c r="D9" s="17" t="s">
        <v>250</v>
      </c>
      <c r="E9" s="83">
        <v>0.02</v>
      </c>
      <c r="F9" s="84">
        <f t="shared" si="0"/>
        <v>240</v>
      </c>
    </row>
    <row r="10" spans="2:6" ht="24" customHeight="1" x14ac:dyDescent="0.2">
      <c r="B10" s="18" t="s">
        <v>251</v>
      </c>
      <c r="C10" s="85">
        <v>600</v>
      </c>
      <c r="D10" s="19" t="s">
        <v>252</v>
      </c>
      <c r="E10" s="86">
        <v>0.05</v>
      </c>
      <c r="F10" s="87">
        <f t="shared" si="0"/>
        <v>30</v>
      </c>
    </row>
    <row r="11" spans="2:6" ht="24" customHeight="1" x14ac:dyDescent="0.2">
      <c r="B11" s="88" t="s">
        <v>253</v>
      </c>
      <c r="C11" s="89"/>
      <c r="D11" s="89"/>
      <c r="E11" s="89"/>
      <c r="F11" s="90">
        <f>SUM(F5:F10)</f>
        <v>3380</v>
      </c>
    </row>
    <row r="13" spans="2:6" ht="21.75" customHeight="1" x14ac:dyDescent="0.2">
      <c r="B13" s="12" t="s">
        <v>254</v>
      </c>
      <c r="C13" s="12"/>
      <c r="D13" s="12"/>
      <c r="E13" s="12"/>
      <c r="F13" s="12"/>
    </row>
    <row r="14" spans="2:6" ht="21.75" customHeight="1" x14ac:dyDescent="0.2">
      <c r="B14" s="20" t="s">
        <v>255</v>
      </c>
      <c r="C14" s="20" t="s">
        <v>256</v>
      </c>
      <c r="D14" s="20" t="s">
        <v>257</v>
      </c>
      <c r="E14" s="20" t="s">
        <v>258</v>
      </c>
      <c r="F14" s="20" t="s">
        <v>259</v>
      </c>
    </row>
    <row r="15" spans="2:6" ht="27.75" customHeight="1" x14ac:dyDescent="0.2">
      <c r="B15" s="91" t="s">
        <v>205</v>
      </c>
      <c r="C15" s="92" t="s">
        <v>260</v>
      </c>
      <c r="D15" s="17" t="s">
        <v>261</v>
      </c>
      <c r="E15" s="22" t="s">
        <v>262</v>
      </c>
      <c r="F15" s="93" t="s">
        <v>263</v>
      </c>
    </row>
    <row r="16" spans="2:6" ht="27.75" customHeight="1" x14ac:dyDescent="0.2">
      <c r="B16" s="94" t="s">
        <v>206</v>
      </c>
      <c r="C16" s="95" t="s">
        <v>264</v>
      </c>
      <c r="D16" s="19" t="s">
        <v>265</v>
      </c>
      <c r="E16" s="25" t="s">
        <v>266</v>
      </c>
      <c r="F16" s="96" t="s">
        <v>267</v>
      </c>
    </row>
    <row r="17" spans="2:6" ht="27.75" customHeight="1" x14ac:dyDescent="0.2">
      <c r="B17" s="91" t="s">
        <v>207</v>
      </c>
      <c r="C17" s="92" t="s">
        <v>268</v>
      </c>
      <c r="D17" s="17" t="s">
        <v>269</v>
      </c>
      <c r="E17" s="22" t="s">
        <v>270</v>
      </c>
      <c r="F17" s="93" t="s">
        <v>271</v>
      </c>
    </row>
    <row r="18" spans="2:6" ht="27.75" customHeight="1" x14ac:dyDescent="0.2">
      <c r="B18" s="94" t="s">
        <v>208</v>
      </c>
      <c r="C18" s="95" t="s">
        <v>272</v>
      </c>
      <c r="D18" s="19" t="s">
        <v>273</v>
      </c>
      <c r="E18" s="25" t="s">
        <v>274</v>
      </c>
      <c r="F18" s="96" t="s">
        <v>275</v>
      </c>
    </row>
    <row r="19" spans="2:6" ht="27.75" customHeight="1" x14ac:dyDescent="0.2">
      <c r="B19" s="91" t="s">
        <v>209</v>
      </c>
      <c r="C19" s="92" t="s">
        <v>276</v>
      </c>
      <c r="D19" s="17" t="s">
        <v>277</v>
      </c>
      <c r="E19" s="22" t="s">
        <v>278</v>
      </c>
      <c r="F19" s="93" t="s">
        <v>279</v>
      </c>
    </row>
  </sheetData>
  <mergeCells count="3">
    <mergeCell ref="B1:F1"/>
    <mergeCell ref="B3:F3"/>
    <mergeCell ref="B13:F1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D12"/>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5" customHeight="1" x14ac:dyDescent="0.2"/>
  <cols>
    <col min="1" max="1" width="2" customWidth="1"/>
    <col min="2" max="2" width="24" customWidth="1"/>
    <col min="3" max="4" width="34" customWidth="1"/>
    <col min="5" max="5" width="2" customWidth="1"/>
  </cols>
  <sheetData>
    <row r="1" spans="2:4" ht="27.75" customHeight="1" x14ac:dyDescent="0.2">
      <c r="B1" s="9" t="s">
        <v>280</v>
      </c>
      <c r="C1" s="9"/>
      <c r="D1" s="9"/>
    </row>
    <row r="3" spans="2:4" ht="21.75" customHeight="1" x14ac:dyDescent="0.2">
      <c r="B3" s="12" t="s">
        <v>281</v>
      </c>
      <c r="C3" s="12"/>
      <c r="D3" s="12"/>
    </row>
    <row r="4" spans="2:4" ht="21.75" customHeight="1" x14ac:dyDescent="0.2">
      <c r="B4" s="20" t="s">
        <v>282</v>
      </c>
      <c r="C4" s="20" t="s">
        <v>283</v>
      </c>
      <c r="D4" s="20" t="s">
        <v>284</v>
      </c>
    </row>
    <row r="5" spans="2:4" ht="72" customHeight="1" x14ac:dyDescent="0.2">
      <c r="B5" s="16" t="s">
        <v>285</v>
      </c>
      <c r="C5" s="31" t="s">
        <v>286</v>
      </c>
      <c r="D5" s="66" t="s">
        <v>287</v>
      </c>
    </row>
    <row r="6" spans="2:4" ht="72" customHeight="1" x14ac:dyDescent="0.2">
      <c r="B6" s="18" t="s">
        <v>288</v>
      </c>
      <c r="C6" s="35" t="s">
        <v>289</v>
      </c>
      <c r="D6" s="67" t="s">
        <v>290</v>
      </c>
    </row>
    <row r="7" spans="2:4" ht="72" customHeight="1" x14ac:dyDescent="0.2">
      <c r="B7" s="16" t="s">
        <v>291</v>
      </c>
      <c r="C7" s="31" t="s">
        <v>292</v>
      </c>
      <c r="D7" s="66" t="s">
        <v>293</v>
      </c>
    </row>
    <row r="8" spans="2:4" ht="72" customHeight="1" x14ac:dyDescent="0.2">
      <c r="B8" s="18" t="s">
        <v>294</v>
      </c>
      <c r="C8" s="35" t="s">
        <v>295</v>
      </c>
      <c r="D8" s="67" t="s">
        <v>296</v>
      </c>
    </row>
    <row r="9" spans="2:4" ht="72" customHeight="1" x14ac:dyDescent="0.2">
      <c r="B9" s="16" t="s">
        <v>297</v>
      </c>
      <c r="C9" s="31" t="s">
        <v>298</v>
      </c>
      <c r="D9" s="66" t="s">
        <v>299</v>
      </c>
    </row>
    <row r="10" spans="2:4" ht="72" customHeight="1" x14ac:dyDescent="0.2">
      <c r="B10" s="18" t="s">
        <v>300</v>
      </c>
      <c r="C10" s="35" t="s">
        <v>301</v>
      </c>
      <c r="D10" s="67" t="s">
        <v>302</v>
      </c>
    </row>
    <row r="11" spans="2:4" ht="72" customHeight="1" x14ac:dyDescent="0.2">
      <c r="B11" s="16" t="s">
        <v>303</v>
      </c>
      <c r="C11" s="31" t="s">
        <v>304</v>
      </c>
      <c r="D11" s="66" t="s">
        <v>305</v>
      </c>
    </row>
    <row r="12" spans="2:4" ht="72" customHeight="1" x14ac:dyDescent="0.2">
      <c r="B12" s="18" t="s">
        <v>306</v>
      </c>
      <c r="C12" s="35" t="s">
        <v>307</v>
      </c>
      <c r="D12" s="67" t="s">
        <v>308</v>
      </c>
    </row>
  </sheetData>
  <mergeCells count="2">
    <mergeCell ref="B1:D1"/>
    <mergeCell ref="B3:D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F21"/>
  <sheetViews>
    <sheetView tabSelected="1" zoomScaleNormal="100" workbookViewId="0">
      <pane xSplit="2" ySplit="2" topLeftCell="C3" activePane="bottomRight" state="frozen"/>
      <selection pane="topRight" activeCell="C1" sqref="C1"/>
      <selection pane="bottomLeft" activeCell="A3" sqref="A3"/>
      <selection pane="bottomRight" activeCell="C4" sqref="C4"/>
    </sheetView>
  </sheetViews>
  <sheetFormatPr baseColWidth="10" defaultColWidth="8.6640625" defaultRowHeight="15" customHeight="1" x14ac:dyDescent="0.2"/>
  <cols>
    <col min="1" max="1" width="2" customWidth="1"/>
    <col min="2" max="2" width="35.5" customWidth="1"/>
    <col min="3" max="4" width="28" customWidth="1"/>
    <col min="5" max="6" width="16" customWidth="1"/>
    <col min="7" max="7" width="2" customWidth="1"/>
  </cols>
  <sheetData>
    <row r="1" spans="2:6" ht="27.75" customHeight="1" x14ac:dyDescent="0.2">
      <c r="B1" s="9" t="s">
        <v>309</v>
      </c>
      <c r="C1" s="9"/>
      <c r="D1" s="9"/>
      <c r="E1" s="9"/>
      <c r="F1" s="9"/>
    </row>
    <row r="2" spans="2:6" ht="21.75" customHeight="1" x14ac:dyDescent="0.2">
      <c r="B2" s="20" t="s">
        <v>310</v>
      </c>
      <c r="C2" s="20" t="s">
        <v>311</v>
      </c>
      <c r="D2" s="20" t="s">
        <v>312</v>
      </c>
      <c r="E2" s="20" t="s">
        <v>313</v>
      </c>
      <c r="F2" s="20" t="s">
        <v>314</v>
      </c>
    </row>
    <row r="3" spans="2:6" ht="19.5" customHeight="1" x14ac:dyDescent="0.2">
      <c r="B3" s="7" t="s">
        <v>315</v>
      </c>
      <c r="C3" s="7"/>
      <c r="D3" s="7"/>
      <c r="E3" s="7"/>
      <c r="F3" s="7"/>
    </row>
    <row r="4" spans="2:6" ht="60" customHeight="1" x14ac:dyDescent="0.2">
      <c r="B4" s="97" t="s">
        <v>316</v>
      </c>
      <c r="C4" s="45" t="s">
        <v>317</v>
      </c>
      <c r="D4" s="45" t="s">
        <v>318</v>
      </c>
      <c r="E4" s="45" t="s">
        <v>319</v>
      </c>
      <c r="F4" s="62" t="s">
        <v>320</v>
      </c>
    </row>
    <row r="5" spans="2:6" ht="60" customHeight="1" x14ac:dyDescent="0.2">
      <c r="B5" s="97" t="s">
        <v>316</v>
      </c>
      <c r="C5" s="45" t="s">
        <v>321</v>
      </c>
      <c r="D5" s="45" t="s">
        <v>322</v>
      </c>
      <c r="E5" s="45" t="s">
        <v>319</v>
      </c>
      <c r="F5" s="62" t="s">
        <v>323</v>
      </c>
    </row>
    <row r="6" spans="2:6" ht="19.5" customHeight="1" x14ac:dyDescent="0.2">
      <c r="B6" s="6" t="s">
        <v>324</v>
      </c>
      <c r="C6" s="6"/>
      <c r="D6" s="6"/>
      <c r="E6" s="6"/>
      <c r="F6" s="6"/>
    </row>
    <row r="7" spans="2:6" ht="60" customHeight="1" x14ac:dyDescent="0.2">
      <c r="B7" s="98" t="s">
        <v>325</v>
      </c>
      <c r="C7" s="39" t="s">
        <v>326</v>
      </c>
      <c r="D7" s="39" t="s">
        <v>327</v>
      </c>
      <c r="E7" s="39" t="s">
        <v>328</v>
      </c>
      <c r="F7" s="54" t="s">
        <v>329</v>
      </c>
    </row>
    <row r="8" spans="2:6" ht="19.5" customHeight="1" x14ac:dyDescent="0.2">
      <c r="B8" s="5" t="s">
        <v>330</v>
      </c>
      <c r="C8" s="5"/>
      <c r="D8" s="5"/>
      <c r="E8" s="5"/>
      <c r="F8" s="5"/>
    </row>
    <row r="9" spans="2:6" ht="60" customHeight="1" x14ac:dyDescent="0.2">
      <c r="B9" s="99" t="s">
        <v>331</v>
      </c>
      <c r="C9" s="48" t="s">
        <v>332</v>
      </c>
      <c r="D9" s="48" t="s">
        <v>333</v>
      </c>
      <c r="E9" s="48" t="s">
        <v>334</v>
      </c>
      <c r="F9" s="56" t="s">
        <v>335</v>
      </c>
    </row>
    <row r="10" spans="2:6" ht="19.5" customHeight="1" x14ac:dyDescent="0.2">
      <c r="B10" s="4" t="s">
        <v>336</v>
      </c>
      <c r="C10" s="4"/>
      <c r="D10" s="4"/>
      <c r="E10" s="4"/>
      <c r="F10" s="4"/>
    </row>
    <row r="11" spans="2:6" ht="60" customHeight="1" x14ac:dyDescent="0.2">
      <c r="B11" s="100" t="s">
        <v>337</v>
      </c>
      <c r="C11" s="22" t="s">
        <v>338</v>
      </c>
      <c r="D11" s="22" t="s">
        <v>339</v>
      </c>
      <c r="E11" s="22" t="s">
        <v>340</v>
      </c>
      <c r="F11" s="66" t="s">
        <v>341</v>
      </c>
    </row>
    <row r="12" spans="2:6" ht="19.5" customHeight="1" x14ac:dyDescent="0.2">
      <c r="B12" s="3" t="s">
        <v>342</v>
      </c>
      <c r="C12" s="3"/>
      <c r="D12" s="3"/>
      <c r="E12" s="3"/>
      <c r="F12" s="3"/>
    </row>
    <row r="13" spans="2:6" ht="60" customHeight="1" x14ac:dyDescent="0.2">
      <c r="B13" s="101" t="s">
        <v>343</v>
      </c>
      <c r="C13" s="42" t="s">
        <v>344</v>
      </c>
      <c r="D13" s="42" t="s">
        <v>345</v>
      </c>
      <c r="E13" s="42" t="s">
        <v>346</v>
      </c>
      <c r="F13" s="60" t="s">
        <v>347</v>
      </c>
    </row>
    <row r="14" spans="2:6" ht="19.5" customHeight="1" x14ac:dyDescent="0.2">
      <c r="B14" s="2" t="s">
        <v>348</v>
      </c>
      <c r="C14" s="2"/>
      <c r="D14" s="2"/>
      <c r="E14" s="2"/>
      <c r="F14" s="2"/>
    </row>
    <row r="15" spans="2:6" ht="60" customHeight="1" x14ac:dyDescent="0.2">
      <c r="B15" s="102" t="s">
        <v>349</v>
      </c>
      <c r="C15" s="51" t="s">
        <v>350</v>
      </c>
      <c r="D15" s="51" t="s">
        <v>351</v>
      </c>
      <c r="E15" s="51" t="s">
        <v>352</v>
      </c>
      <c r="F15" s="58" t="s">
        <v>353</v>
      </c>
    </row>
    <row r="16" spans="2:6" ht="19.5" customHeight="1" x14ac:dyDescent="0.2">
      <c r="B16" s="1" t="s">
        <v>354</v>
      </c>
      <c r="C16" s="1"/>
      <c r="D16" s="1"/>
      <c r="E16" s="1"/>
      <c r="F16" s="1"/>
    </row>
    <row r="17" spans="2:6" ht="60" customHeight="1" x14ac:dyDescent="0.2">
      <c r="B17" s="101" t="s">
        <v>355</v>
      </c>
      <c r="C17" s="42" t="s">
        <v>356</v>
      </c>
      <c r="D17" s="42" t="s">
        <v>357</v>
      </c>
      <c r="E17" s="42" t="s">
        <v>358</v>
      </c>
      <c r="F17" s="60" t="s">
        <v>359</v>
      </c>
    </row>
    <row r="18" spans="2:6" ht="19.5" customHeight="1" x14ac:dyDescent="0.2">
      <c r="B18" s="103" t="s">
        <v>360</v>
      </c>
      <c r="C18" s="103"/>
      <c r="D18" s="103"/>
      <c r="E18" s="103"/>
      <c r="F18" s="103"/>
    </row>
    <row r="19" spans="2:6" ht="60" customHeight="1" x14ac:dyDescent="0.2">
      <c r="B19" s="98" t="s">
        <v>361</v>
      </c>
      <c r="C19" s="39" t="s">
        <v>362</v>
      </c>
      <c r="D19" s="39" t="s">
        <v>363</v>
      </c>
      <c r="E19" s="39" t="s">
        <v>364</v>
      </c>
      <c r="F19" s="54" t="s">
        <v>365</v>
      </c>
    </row>
    <row r="20" spans="2:6" ht="19.5" customHeight="1" x14ac:dyDescent="0.2">
      <c r="B20" s="104" t="s">
        <v>366</v>
      </c>
      <c r="C20" s="104"/>
      <c r="D20" s="104"/>
      <c r="E20" s="104"/>
      <c r="F20" s="104"/>
    </row>
    <row r="21" spans="2:6" ht="60" customHeight="1" x14ac:dyDescent="0.2">
      <c r="B21" s="100" t="s">
        <v>367</v>
      </c>
      <c r="C21" s="22" t="s">
        <v>368</v>
      </c>
      <c r="D21" s="22" t="s">
        <v>369</v>
      </c>
      <c r="E21" s="22" t="s">
        <v>370</v>
      </c>
      <c r="F21" s="66" t="s">
        <v>371</v>
      </c>
    </row>
  </sheetData>
  <mergeCells count="10">
    <mergeCell ref="B12:F12"/>
    <mergeCell ref="B14:F14"/>
    <mergeCell ref="B16:F16"/>
    <mergeCell ref="B18:F18"/>
    <mergeCell ref="B20:F20"/>
    <mergeCell ref="B1:F1"/>
    <mergeCell ref="B3:F3"/>
    <mergeCell ref="B6:F6"/>
    <mergeCell ref="B8:F8"/>
    <mergeCell ref="B10:F1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① RED.Health Analysis</vt:lpstr>
      <vt:lpstr>② The Niche</vt:lpstr>
      <vt:lpstr>③ GoldenOS Product</vt:lpstr>
      <vt:lpstr>④ GSPL vs RED.Health</vt:lpstr>
      <vt:lpstr>⑤ Claude AI Cost Model</vt:lpstr>
      <vt:lpstr>⑥ Market &amp; Share</vt:lpstr>
      <vt:lpstr>⑦ Learning from RED</vt:lpstr>
      <vt:lpstr>⑧ 90-Day Execution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Narayanasamy, Amarnath</cp:lastModifiedBy>
  <cp:revision>0</cp:revision>
  <dcterms:created xsi:type="dcterms:W3CDTF">2026-03-17T13:50:17Z</dcterms:created>
  <dcterms:modified xsi:type="dcterms:W3CDTF">2026-03-17T04:53:48Z</dcterms:modified>
  <dc:language>en-US</dc:language>
</cp:coreProperties>
</file>